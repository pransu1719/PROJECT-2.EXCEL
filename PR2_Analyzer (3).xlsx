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93d5bae2ea4b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1b2059204b64692"/>
    <x:sheet xmlns:r="http://schemas.openxmlformats.org/officeDocument/2006/relationships" name="What_If" sheetId="2" r:id="R7b591eeef5564935"/>
    <x:sheet xmlns:r="http://schemas.openxmlformats.org/officeDocument/2006/relationships" name="Analysis" sheetId="3" r:id="R4cd9e74e54e74164"/>
    <x:sheet xmlns:r="http://schemas.openxmlformats.org/officeDocument/2006/relationships" name="Regression" sheetId="4" r:id="R3cd930288bc84c40"/>
    <x:sheet xmlns:r="http://schemas.openxmlformats.org/officeDocument/2006/relationships" name="Descriptive_Stats" sheetId="5" r:id="Ra3169de3725840d8"/>
    <x:sheet xmlns:r="http://schemas.openxmlformats.org/officeDocument/2006/relationships" name="Customer_Analysis" sheetId="6" r:id="R3224ee36e1424999"/>
    <x:sheet xmlns:r="http://schemas.openxmlformats.org/officeDocument/2006/relationships" name="Pivot" sheetId="7" r:id="R580cfb6d39e24c9b"/>
    <x:sheet xmlns:r="http://schemas.openxmlformats.org/officeDocument/2006/relationships" name="Raw_Data" sheetId="8" r:id="R2578e61810784570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$#,##0.00"/>
    <x:numFmt numFmtId="201" formatCode="0%"/>
    <x:numFmt numFmtId="202" formatCode="dd-mmm-yyyy"/>
    <x:numFmt numFmtId="203" formatCode="dd-mmm-yyyy hh:mm"/>
    <x:numFmt numFmtId="204" formatCode="$#,##0"/>
    <x:numFmt numFmtId="205" formatCode="0.0%"/>
    <x:numFmt numFmtId="206" formatCode="[Green]▲ 0.0%;[Red]▼ 0.0%;-"/>
    <x:numFmt numFmtId="207" formatCode="0.000"/>
    <x:numFmt numFmtId="208" formatCode="0.00"/>
  </x:numFmts>
  <x:fonts count="5">
    <x:font>
      <x:sz val="11"/>
      <x:name val="Carlito"/>
    </x:font>
    <x:font>
      <x:b/>
      <x:sz val="16"/>
      <x:color rgb="FF1F4E78"/>
      <x:name val="Arial"/>
    </x:font>
    <x:font>
      <x:b/>
      <x:sz val="11"/>
      <x:color rgb="FFFFFFFF"/>
      <x:name val="Arial"/>
    </x:font>
    <x:font>
      <x:b/>
      <x:sz val="11"/>
      <x:name val="Carlito"/>
    </x:font>
    <x:font>
      <x:b/>
      <x:sz val="12"/>
      <x:color rgb="FF1F4E7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5" fontId="3" fillId="3" borderId="0" xfId="0" applyNumberFormat="1" applyFont="1" applyFill="1" applyBorder="1"/>
    <x:xf numFmtId="207" fontId="0" fillId="0" borderId="0" xfId="0" applyNumberFormat="1" applyFont="1" applyFill="1" applyBorder="1"/>
    <x:xf numFmtId="208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4" fontId="4" fillId="4" borderId="0" xfId="0" applyNumberFormat="1" applyFont="1" applyFill="1" applyBorder="1" applyAlignment="1">
      <x:alignment horizontal="center"/>
    </x:xf>
    <x:xf numFmtId="205" fontId="4" fillId="4" borderId="0" xfId="0" applyNumberFormat="1" applyFont="1" applyFill="1" applyBorder="1" applyAlignment="1">
      <x:alignment horizontal="center"/>
    </x:xf>
    <x:xf numFmtId="203" fontId="4" fillId="4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3a71c184ed4dc1" /><Relationship Type="http://schemas.openxmlformats.org/officeDocument/2006/relationships/theme" Target="/xl/theme/theme1.xml" Id="R4b3b0d20bdef4ed0" /><Relationship Type="http://schemas.openxmlformats.org/officeDocument/2006/relationships/sheetMetadata" Target="/xl/metadata1.xml" Id="R50b8180689ba4fa9" /><Relationship Type="http://schemas.openxmlformats.org/officeDocument/2006/relationships/sharedStrings" Target="/xl/sharedStrings.xml" Id="R5cefd7c2d8434efb" /><Relationship Type="http://schemas.openxmlformats.org/officeDocument/2006/relationships/worksheet" Target="/xl/worksheets/sheet1.xml" Id="R61b2059204b64692" /><Relationship Type="http://schemas.openxmlformats.org/officeDocument/2006/relationships/worksheet" Target="/xl/worksheets/sheet2.xml" Id="R7b591eeef5564935" /><Relationship Type="http://schemas.openxmlformats.org/officeDocument/2006/relationships/worksheet" Target="/xl/worksheets/sheet3.xml" Id="R4cd9e74e54e74164" /><Relationship Type="http://schemas.openxmlformats.org/officeDocument/2006/relationships/worksheet" Target="/xl/worksheets/sheet4.xml" Id="R3cd930288bc84c40" /><Relationship Type="http://schemas.openxmlformats.org/officeDocument/2006/relationships/worksheet" Target="/xl/worksheets/sheet5.xml" Id="Ra3169de3725840d8" /><Relationship Type="http://schemas.openxmlformats.org/officeDocument/2006/relationships/worksheet" Target="/xl/worksheets/sheet6.xml" Id="R3224ee36e1424999" /><Relationship Type="http://schemas.openxmlformats.org/officeDocument/2006/relationships/worksheet" Target="/xl/worksheets/sheet7.xml" Id="R580cfb6d39e24c9b" /><Relationship Type="http://schemas.openxmlformats.org/officeDocument/2006/relationships/worksheet" Target="/xl/worksheets/sheet8.xml" Id="R2578e6181078457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9249ffeebdc48c8" /><Relationship Type="http://schemas.openxmlformats.org/officeDocument/2006/relationships/chart" Target="/xl/drawings/charts/chart2.xml" Id="Re7d1932ecace477d" /><Relationship Type="http://schemas.openxmlformats.org/officeDocument/2006/relationships/chart" Target="/xl/drawings/charts/chart3.xml" Id="R146ecb3550584d5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Sales Trend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Sales</c:v>
          </c:tx>
          <c:marker>
            <c:symbol val="none"/>
          </c:marker>
          <c:cat>
            <c:strRef>
              <c:f>'Dashboard'!$A$10:$A$14</c:f>
              <c:strCache>
                <c:ptCount val="0"/>
              </c:strCache>
            </c:strRef>
          </c:cat>
          <c:val>
            <c:numRef>
              <c:f>'Dashboard'!$B$10:$B$14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by Category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Sales</c:v>
          </c:tx>
          <c:cat>
            <c:strRef>
              <c:f>'Dashboard'!$D$10:$D$14</c:f>
              <c:strCache>
                <c:ptCount val="0"/>
              </c:strCache>
            </c:strRef>
          </c:cat>
          <c:val>
            <c:numRef>
              <c:f>'Dashboard'!$E$10:$E$14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by Region</a:t>
            </a:r>
          </a:p>
        </c:rich>
      </c:tx>
      <c:overlay val="0"/>
    </c:title>
    <c:plotArea>
      <c:pieChart>
        <c:ser>
          <c:idx val="0"/>
          <c:order val="0"/>
          <c:tx>
            <c:v>Sales</c:v>
          </c:tx>
          <c:cat>
            <c:strRef>
              <c:f>'Dashboard'!$G$10:$G$14</c:f>
              <c:strCache>
                <c:ptCount val="0"/>
              </c:strCache>
            </c:strRef>
          </c:cat>
          <c:val>
            <c:numRef>
              <c:f>'Dashboard'!$H$10:$H$14</c:f>
              <c:numCache>
                <c:formatCode>$#,##0</c:formatCode>
                <c:ptCount val="0"/>
              </c:numCache>
            </c:numRef>
          </c:val>
        </c:ser>
      </c:pieChart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249ffeebdc48c8"/>
        </a:graphicData>
      </a:graphic>
    </xdr:graphicFrame>
    <xdr:clientData/>
  </xdr:twoCellAnchor>
  <xdr:twoCellAnchor>
    <xdr:from>
      <xdr:col>9</xdr:col>
      <xdr:colOff>0</xdr:colOff>
      <xdr:row>8</xdr:row>
      <xdr:rowOff>0</xdr:rowOff>
    </xdr:from>
    <xdr:to>
      <xdr:col>17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d1932ecace477d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17</xdr:col>
      <xdr:colOff>0</xdr:colOff>
      <xdr:row>39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6ecb3550584d5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Data" displayName="RawData" ref="A5:K205" headerRowCount="1" totalsRowCount="0" totalsRowShown="0">
  <x:tableColumns count="11">
    <x:tableColumn id="1" name="Customer_ID"/>
    <x:tableColumn id="2" name="Customer_Name"/>
    <x:tableColumn id="3" name="Region"/>
    <x:tableColumn id="4" name="Product_Category"/>
    <x:tableColumn id="5" name="Sales"/>
    <x:tableColumn id="6" name="Quantity"/>
    <x:tableColumn id="7" name="Discount"/>
    <x:tableColumn id="8" name="Order_Date"/>
    <x:tableColumn id="9" name="Profit"/>
    <x:tableColumn id="10" name="Timestamp"/>
    <x:tableColumn id="11" name="Mon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ba69d10cec644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.xml" Id="Rba9e56b5332b40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75" hidden="0" customWidth="1"/>
    <x:col min="2" max="2" width="10.130000114440918" hidden="0" customWidth="1"/>
    <x:col min="3" max="3" width="6.630000114440918" hidden="0" customWidth="1"/>
    <x:col min="4" max="4" width="11.5" hidden="0" customWidth="1"/>
    <x:col min="5" max="5" width="12.880000114440918" hidden="0" customWidth="1"/>
    <x:col min="6" max="6" width="9.130000114440918" hidden="0" customWidth="1"/>
    <x:col min="7" max="7" width="11.880000114440918" hidden="0" customWidth="1"/>
    <x:col min="8" max="8" width="16" hidden="0" customWidth="1"/>
  </x:cols>
  <x:sheetData>
    <x:row r="2" ht="19.200000762939453" hidden="0" customHeight="1">
      <x:c r="A2" s="1" t="str">
        <x:v>PR. 2 Analyzer Dashboard</x:v>
      </x:c>
    </x:row>
    <x:row r="3" ht="15" hidden="0" customHeight="1">
      <x:c r="A3" t="str">
        <x:v>KPI summary and chart-based data story</x:v>
      </x:c>
    </x:row>
    <x:row r="4"/>
    <x:row r="5" ht="15" hidden="0" customHeight="1">
      <x:c r="A5" s="5" t="str">
        <x:v>Total Sales</x:v>
      </x:c>
      <x:c r="B5" s="5" t="str">
        <x:v>Total Profit</x:v>
      </x:c>
      <x:c r="C5" s="5" t="str">
        <x:v>Orders</x:v>
      </x:c>
      <x:c r="D5" s="5" t="str">
        <x:v>Avg Order</x:v>
      </x:c>
      <x:c r="E5" s="5" t="str">
        <x:v>Top Customer</x:v>
      </x:c>
      <x:c r="F5" s="5" t="str">
        <x:v>Top Sales</x:v>
      </x:c>
      <x:c r="G5" s="5" t="str">
        <x:v>Profit Margin</x:v>
      </x:c>
      <x:c r="H5" s="5" t="str">
        <x:v>Updated</x:v>
      </x:c>
    </x:row>
    <x:row r="6" ht="15" hidden="0" customHeight="1">
      <x:c r="A6" s="21" t="n">
        <x:f>Analysis!B6</x:f>
        <x:v>195217.75999999992</x:v>
      </x:c>
      <x:c r="B6" s="21" t="n">
        <x:f>Analysis!B7</x:f>
        <x:v>68287.01000000001</x:v>
      </x:c>
      <x:c r="C6" s="20" t="n">
        <x:f>Analysis!B8</x:f>
        <x:v>200</x:v>
      </x:c>
      <x:c r="D6" s="21" t="n">
        <x:f>Analysis!B9</x:f>
        <x:v>976.0887999999997</x:v>
      </x:c>
      <x:c r="E6" s="20" t="str">
        <x:f>INDEX(Customer_Analysis!$A$6:$A$35,MATCH(MAX(Customer_Analysis!$B$6:$B$35),Customer_Analysis!$B$6:$B$35,0))</x:f>
        <x:v>CUST015</x:v>
      </x:c>
      <x:c r="F6" s="21" t="n">
        <x:f>MAX(Customer_Analysis!$B$6:$B$35)</x:f>
        <x:v>11611.060000000001</x:v>
      </x:c>
      <x:c r="G6" s="22" t="n">
        <x:f>B6/A6</x:f>
        <x:v>0.3497991678625963</x:v>
      </x:c>
      <x:c r="H6" s="23" t="n">
        <x:f>NOW()</x:f>
        <x:v>46274</x:v>
      </x:c>
    </x:row>
    <x:row r="7"/>
    <x:row r="8"/>
    <x:row r="9" ht="15" hidden="0" customHeight="1">
      <x:c r="A9" s="5" t="str">
        <x:v>Month</x:v>
      </x:c>
      <x:c r="B9" s="5" t="str">
        <x:v>Sales</x:v>
      </x:c>
      <x:c r="D9" s="5" t="str">
        <x:v>Category</x:v>
      </x:c>
      <x:c r="E9" s="5" t="str">
        <x:v>Sales</x:v>
      </x:c>
      <x:c r="G9" s="5" t="str">
        <x:v>Region</x:v>
      </x:c>
      <x:c r="H9" s="5" t="str">
        <x:v>Sales</x:v>
      </x:c>
    </x:row>
    <x:row r="10" ht="15" hidden="0" customHeight="1">
      <x:c r="A10" t="str">
        <x:v>Dec-24</x:v>
      </x:c>
      <x:c r="B10" s="10" t="n">
        <x:f>SUMIFS(Raw_Data!$E$6:$E$205,Raw_Data!$K$6:$K$205,A10)</x:f>
        <x:v>11120.04</x:v>
      </x:c>
      <x:c r="D10" t="str">
        <x:v>Books</x:v>
      </x:c>
      <x:c r="E10" s="10" t="n">
        <x:f>SUMIFS(Raw_Data!$E$6:$E$205,Raw_Data!$D$6:$D$205,D10)</x:f>
        <x:v>47002.46000000001</x:v>
      </x:c>
      <x:c r="G10" t="str">
        <x:v>Central</x:v>
      </x:c>
      <x:c r="H10" s="10" t="n">
        <x:f>SUMIFS(Raw_Data!$E$6:$E$205,Raw_Data!$C$6:$C$205,G10)</x:f>
        <x:v>43468.33</x:v>
      </x:c>
    </x:row>
    <x:row r="11" ht="15" hidden="0" customHeight="1">
      <x:c r="A11" t="str">
        <x:v>Jan-25</x:v>
      </x:c>
      <x:c r="B11" s="10" t="n">
        <x:f>SUMIFS(Raw_Data!$E$6:$E$205,Raw_Data!$K$6:$K$205,A11)</x:f>
        <x:v>14914.650000000001</x:v>
      </x:c>
      <x:c r="D11" t="str">
        <x:v>Clothing</x:v>
      </x:c>
      <x:c r="E11" s="10" t="n">
        <x:f>SUMIFS(Raw_Data!$E$6:$E$205,Raw_Data!$D$6:$D$205,D11)</x:f>
        <x:v>41927.58999999999</x:v>
      </x:c>
      <x:c r="G11" t="str">
        <x:v>East</x:v>
      </x:c>
      <x:c r="H11" s="10" t="n">
        <x:f>SUMIFS(Raw_Data!$E$6:$E$205,Raw_Data!$C$6:$C$205,G11)</x:f>
        <x:v>32441.64</x:v>
      </x:c>
    </x:row>
    <x:row r="12" ht="15" hidden="0" customHeight="1">
      <x:c r="A12" t="str">
        <x:v>Feb-25</x:v>
      </x:c>
      <x:c r="B12" s="10" t="n">
        <x:f>SUMIFS(Raw_Data!$E$6:$E$205,Raw_Data!$K$6:$K$205,A12)</x:f>
        <x:v>14006.359999999999</x:v>
      </x:c>
      <x:c r="D12" t="str">
        <x:v>Electronics</x:v>
      </x:c>
      <x:c r="E12" s="10" t="n">
        <x:f>SUMIFS(Raw_Data!$E$6:$E$205,Raw_Data!$D$6:$D$205,D12)</x:f>
        <x:v>41044.00000000001</x:v>
      </x:c>
      <x:c r="G12" t="str">
        <x:v>North</x:v>
      </x:c>
      <x:c r="H12" s="10" t="n">
        <x:f>SUMIFS(Raw_Data!$E$6:$E$205,Raw_Data!$C$6:$C$205,G12)</x:f>
        <x:v>34975.42</x:v>
      </x:c>
    </x:row>
    <x:row r="13" ht="15" hidden="0" customHeight="1">
      <x:c r="A13" t="str">
        <x:v>Mar-25</x:v>
      </x:c>
      <x:c r="B13" s="10" t="n">
        <x:f>SUMIFS(Raw_Data!$E$6:$E$205,Raw_Data!$K$6:$K$205,A13)</x:f>
        <x:v>17655.219999999998</x:v>
      </x:c>
      <x:c r="D13" t="str">
        <x:v>Furniture</x:v>
      </x:c>
      <x:c r="E13" s="10" t="n">
        <x:f>SUMIFS(Raw_Data!$E$6:$E$205,Raw_Data!$D$6:$D$205,D13)</x:f>
        <x:v>36612.89</x:v>
      </x:c>
      <x:c r="G13" t="str">
        <x:v>South</x:v>
      </x:c>
      <x:c r="H13" s="10" t="n">
        <x:f>SUMIFS(Raw_Data!$E$6:$E$205,Raw_Data!$C$6:$C$205,G13)</x:f>
        <x:v>40248.79</x:v>
      </x:c>
    </x:row>
    <x:row r="14" ht="15" hidden="0" customHeight="1">
      <x:c r="A14" t="str">
        <x:v>Apr-25</x:v>
      </x:c>
      <x:c r="B14" s="10" t="n">
        <x:f>SUMIFS(Raw_Data!$E$6:$E$205,Raw_Data!$K$6:$K$205,A14)</x:f>
        <x:v>3212.17</x:v>
      </x:c>
      <x:c r="D14" t="str">
        <x:v>Office Supplies</x:v>
      </x:c>
      <x:c r="E14" s="10" t="n">
        <x:f>SUMIFS(Raw_Data!$E$6:$E$205,Raw_Data!$D$6:$D$205,D14)</x:f>
        <x:v>28630.819999999992</x:v>
      </x:c>
      <x:c r="G14" t="str">
        <x:v>West</x:v>
      </x:c>
      <x:c r="H14" s="10" t="n">
        <x:f>SUMIFS(Raw_Data!$E$6:$E$205,Raw_Data!$C$6:$C$205,G14)</x:f>
        <x:v>44083.58</x:v>
      </x:c>
    </x:row>
  </x:sheetData>
  <x:pageMargins left="0.7" right="0.7" top="0.75" bottom="0.75" header="0.3" footer="0.3"/>
  <x:drawing xmlns:r="http://schemas.openxmlformats.org/officeDocument/2006/relationships" r:id="R7ba69d10cec6442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5" hidden="0" customWidth="1"/>
    <x:col min="2" max="2" width="6.630000114440918" hidden="0" customWidth="1"/>
    <x:col min="4" max="4" width="8.380000114440918" hidden="0" customWidth="1"/>
    <x:col min="5" max="5" width="14.630000114440918" hidden="0" customWidth="1"/>
    <x:col min="6" max="6" width="7.130000114440918" hidden="0" customWidth="1"/>
  </x:cols>
  <x:sheetData>
    <x:row r="2" ht="19.200000762939453" hidden="0" customHeight="1">
      <x:c r="A2" s="1" t="str">
        <x:v>Discount What-If Analysis</x:v>
      </x:c>
    </x:row>
    <x:row r="3" ht="15" hidden="0" customHeight="1">
      <x:c r="A3" t="str">
        <x:v>Edit the yellow scenario discount input</x:v>
      </x:c>
    </x:row>
    <x:row r="4"/>
    <x:row r="5" ht="15" hidden="0" customHeight="1">
      <x:c r="A5" s="5" t="str">
        <x:v>Assumption</x:v>
      </x:c>
      <x:c r="B5" s="5" t="str">
        <x:v>Value</x:v>
      </x:c>
      <x:c r="D5" s="5" t="str">
        <x:v>Discount</x:v>
      </x:c>
      <x:c r="E5" s="5" t="str">
        <x:v>Estimated Profit</x:v>
      </x:c>
      <x:c r="F5" s="5" t="str">
        <x:v>Impact</x:v>
      </x:c>
    </x:row>
    <x:row r="6" ht="15" hidden="0" customHeight="1">
      <x:c r="A6" t="str">
        <x:v>Current Avg Discount</x:v>
      </x:c>
      <x:c r="B6" s="11" t="n">
        <x:f>AVERAGE(Raw_Data!$G$6:$G$205)</x:f>
        <x:v>0.09725</x:v>
      </x:c>
      <x:c r="D6" s="7" t="n">
        <x:v>0</x:v>
      </x:c>
      <x:c r="E6" s="10" t="n">
        <x:f>SUM(Raw_Data!$I$6:$I$205)*(1-(D6-$B$6))</x:f>
        <x:v>74927.92172250002</x:v>
      </x:c>
      <x:c r="F6" s="10" t="n">
        <x:f>E6-SUM(Raw_Data!$I$6:$I$205)</x:f>
        <x:v>6640.911722500008</x:v>
      </x:c>
    </x:row>
    <x:row r="7" ht="15" hidden="0" customHeight="1">
      <x:c r="A7" t="str">
        <x:v>Scenario Discount</x:v>
      </x:c>
      <x:c r="B7" s="15" t="n">
        <x:v>0.1</x:v>
      </x:c>
      <x:c r="D7" s="7" t="n">
        <x:v>0.05</x:v>
      </x:c>
      <x:c r="E7" s="10" t="n">
        <x:f>SUM(Raw_Data!$I$6:$I$205)*(1-(D7-$B$6))</x:f>
        <x:v>71513.57122250002</x:v>
      </x:c>
      <x:c r="F7" s="10" t="n">
        <x:f>E7-SUM(Raw_Data!$I$6:$I$205)</x:f>
        <x:v>3226.5612225000077</x:v>
      </x:c>
    </x:row>
    <x:row r="8" ht="15" hidden="0" customHeight="1">
      <x:c r="A8" t="str">
        <x:v>Estimated Profit</x:v>
      </x:c>
      <x:c r="B8" s="10" t="n">
        <x:f>SUM(Raw_Data!$I$6:$I$205)*(1-(B7-B6))</x:f>
        <x:v>68099.2207225</x:v>
      </x:c>
      <x:c r="D8" s="7" t="n">
        <x:v>0.1</x:v>
      </x:c>
      <x:c r="E8" s="10" t="n">
        <x:f>SUM(Raw_Data!$I$6:$I$205)*(1-(D8-$B$6))</x:f>
        <x:v>68099.2207225</x:v>
      </x:c>
      <x:c r="F8" s="10" t="n">
        <x:f>E8-SUM(Raw_Data!$I$6:$I$205)</x:f>
        <x:v>-187.7892775000073</x:v>
      </x:c>
    </x:row>
    <x:row r="9" ht="15" hidden="0" customHeight="1">
      <x:c r="D9" s="7" t="n">
        <x:v>0.15</x:v>
      </x:c>
      <x:c r="E9" s="10" t="n">
        <x:f>SUM(Raw_Data!$I$6:$I$205)*(1-(D9-$B$6))</x:f>
        <x:v>64684.87022250001</x:v>
      </x:c>
      <x:c r="F9" s="10" t="n">
        <x:f>E9-SUM(Raw_Data!$I$6:$I$205)</x:f>
        <x:v>-3602.1397775000005</x:v>
      </x:c>
    </x:row>
    <x:row r="10" ht="15" hidden="0" customHeight="1">
      <x:c r="D10" s="7" t="n">
        <x:v>0.2</x:v>
      </x:c>
      <x:c r="E10" s="10" t="n">
        <x:f>SUM(Raw_Data!$I$6:$I$205)*(1-(D10-$B$6))</x:f>
        <x:v>61270.51972250001</x:v>
      </x:c>
      <x:c r="F10" s="10" t="n">
        <x:f>E10-SUM(Raw_Data!$I$6:$I$205)</x:f>
        <x:v>-7016.490277500001</x:v>
      </x:c>
    </x:row>
    <x:row r="11" ht="15" hidden="0" customHeight="1">
      <x:c r="D11" s="7" t="n">
        <x:v>0.25</x:v>
      </x:c>
      <x:c r="E11" s="10" t="n">
        <x:f>SUM(Raw_Data!$I$6:$I$205)*(1-(D11-$B$6))</x:f>
        <x:v>57856.169222500015</x:v>
      </x:c>
      <x:c r="F11" s="10" t="n">
        <x:f>E11-SUM(Raw_Data!$I$6:$I$205)</x:f>
        <x:v>-10430.840777499994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.630001068115234" hidden="0" customWidth="1"/>
    <x:col min="2" max="2" width="7.5" hidden="0" customWidth="1"/>
    <x:col min="4" max="4" width="6.130000114440918" hidden="0" customWidth="1"/>
    <x:col min="5" max="5" width="6.630000114440918" hidden="0" customWidth="1"/>
    <x:col min="6" max="6" width="18.3799991607666" hidden="0" customWidth="1"/>
  </x:cols>
  <x:sheetData>
    <x:row r="2" ht="19.200000762939453" hidden="0" customHeight="1">
      <x:c r="A2" s="1" t="str">
        <x:v>Sales Analysis</x:v>
      </x:c>
    </x:row>
    <x:row r="3" ht="15" hidden="0" customHeight="1">
      <x:c r="A3" t="str">
        <x:v>Monthly sales growth with custom up/down arrow formatting</x:v>
      </x:c>
    </x:row>
    <x:row r="4"/>
    <x:row r="5" ht="15" hidden="0" customHeight="1">
      <x:c r="A5" s="5" t="str">
        <x:v>Metric</x:v>
      </x:c>
      <x:c r="B5" s="5" t="str">
        <x:v>Value</x:v>
      </x:c>
      <x:c r="D5" s="5" t="str">
        <x:v>Month</x:v>
      </x:c>
      <x:c r="E5" s="5" t="str">
        <x:v>Sales</x:v>
      </x:c>
      <x:c r="F5" s="5" t="str">
        <x:v>Growth</x:v>
      </x:c>
    </x:row>
    <x:row r="6" ht="15" hidden="0" customHeight="1">
      <x:c r="A6" t="str">
        <x:v>Total Sales</x:v>
      </x:c>
      <x:c r="B6" s="10" t="n">
        <x:f>SUM(Raw_Data!$E$6:$E$205)</x:f>
        <x:v>195217.75999999992</x:v>
      </x:c>
      <x:c r="D6" t="str">
        <x:v>Apr-24</x:v>
      </x:c>
      <x:c r="E6" s="10" t="n">
        <x:f>SUMIFS(Raw_Data!$E$6:$E$205,Raw_Data!$K$6:$K$205,D6)</x:f>
        <x:v>19029.96</x:v>
      </x:c>
    </x:row>
    <x:row r="7" ht="15" hidden="0" customHeight="1">
      <x:c r="A7" t="str">
        <x:v>Total Profit</x:v>
      </x:c>
      <x:c r="B7" s="10" t="n">
        <x:f>SUM(Raw_Data!$I$6:$I$205)</x:f>
        <x:v>68287.01000000001</x:v>
      </x:c>
      <x:c r="D7" t="str">
        <x:v>May-24</x:v>
      </x:c>
      <x:c r="E7" s="10" t="n">
        <x:f>SUMIFS(Raw_Data!$E$6:$E$205,Raw_Data!$K$6:$K$205,D7)</x:f>
        <x:v>18507.339999999997</x:v>
      </x:c>
      <x:c r="F7" s="12" t="n">
        <x:f>(E7-E6)/E6</x:f>
        <x:v>-0.0274630109574588</x:v>
      </x:c>
    </x:row>
    <x:row r="8" ht="15" hidden="0" customHeight="1">
      <x:c r="A8" t="str">
        <x:v>Orders</x:v>
      </x:c>
      <x:c r="B8" t="n">
        <x:f>COUNTA(Raw_Data!$A$6:$A$205)</x:f>
        <x:v>200</x:v>
      </x:c>
      <x:c r="D8" t="str">
        <x:v>Jun-24</x:v>
      </x:c>
      <x:c r="E8" s="10" t="n">
        <x:f>SUMIFS(Raw_Data!$E$6:$E$205,Raw_Data!$K$6:$K$205,D8)</x:f>
        <x:v>20187.51</x:v>
      </x:c>
      <x:c r="F8" s="12" t="n">
        <x:f>(E8-E7)/E7</x:f>
        <x:v>0.0907839808421957</x:v>
      </x:c>
    </x:row>
    <x:row r="9" ht="15" hidden="0" customHeight="1">
      <x:c r="A9" t="str">
        <x:v>Average Order Value</x:v>
      </x:c>
      <x:c r="B9" s="10" t="n">
        <x:f>B6/B8</x:f>
        <x:v>976.0887999999997</x:v>
      </x:c>
      <x:c r="D9" t="str">
        <x:v>Jul-24</x:v>
      </x:c>
      <x:c r="E9" s="10" t="n">
        <x:f>SUMIFS(Raw_Data!$E$6:$E$205,Raw_Data!$K$6:$K$205,D9)</x:f>
        <x:v>11609.039999999999</x:v>
      </x:c>
      <x:c r="F9" s="12" t="n">
        <x:f>(E9-E8)/E8</x:f>
        <x:v>-0.42493947990614</x:v>
      </x:c>
    </x:row>
    <x:row r="10" ht="15" hidden="0" customHeight="1">
      <x:c r="A10" t="str">
        <x:v>Average Discount</x:v>
      </x:c>
      <x:c r="B10" s="11" t="n">
        <x:f>AVERAGE(Raw_Data!$G$6:$G$205)</x:f>
        <x:v>0.09725</x:v>
      </x:c>
      <x:c r="D10" t="str">
        <x:v>Aug-24</x:v>
      </x:c>
      <x:c r="E10" s="10" t="n">
        <x:f>SUMIFS(Raw_Data!$E$6:$E$205,Raw_Data!$K$6:$K$205,D10)</x:f>
        <x:v>10091.699999999999</x:v>
      </x:c>
      <x:c r="F10" s="12" t="n">
        <x:f>(E10-E9)/E9</x:f>
        <x:v>-0.13070331396911375</x:v>
      </x:c>
    </x:row>
    <x:row r="11" ht="15" hidden="0" customHeight="1">
      <x:c r="D11" t="str">
        <x:v>Sep-24</x:v>
      </x:c>
      <x:c r="E11" s="10" t="n">
        <x:f>SUMIFS(Raw_Data!$E$6:$E$205,Raw_Data!$K$6:$K$205,D11)</x:f>
        <x:v>20533.499999999996</x:v>
      </x:c>
      <x:c r="F11" s="12" t="n">
        <x:f>(E11-E10)/E10</x:f>
        <x:v>1.0346918755016496</x:v>
      </x:c>
    </x:row>
    <x:row r="12" ht="15" hidden="0" customHeight="1">
      <x:c r="D12" t="str">
        <x:v>Oct-24</x:v>
      </x:c>
      <x:c r="E12" s="10" t="n">
        <x:f>SUMIFS(Raw_Data!$E$6:$E$205,Raw_Data!$K$6:$K$205,D12)</x:f>
        <x:v>14215.240000000002</x:v>
      </x:c>
      <x:c r="F12" s="12" t="n">
        <x:f>(E12-E11)/E11</x:f>
        <x:v>-0.30770496992719193</x:v>
      </x:c>
    </x:row>
    <x:row r="13" ht="15" hidden="0" customHeight="1">
      <x:c r="D13" t="str">
        <x:v>Nov-24</x:v>
      </x:c>
      <x:c r="E13" s="10" t="n">
        <x:f>SUMIFS(Raw_Data!$E$6:$E$205,Raw_Data!$K$6:$K$205,D13)</x:f>
        <x:v>20135.030000000002</x:v>
      </x:c>
      <x:c r="F13" s="12" t="n">
        <x:f>(E13-E12)/E12</x:f>
        <x:v>0.4164396802305132</x:v>
      </x:c>
    </x:row>
    <x:row r="14" ht="15" hidden="0" customHeight="1">
      <x:c r="D14" t="str">
        <x:v>Dec-24</x:v>
      </x:c>
      <x:c r="E14" s="10" t="n">
        <x:f>SUMIFS(Raw_Data!$E$6:$E$205,Raw_Data!$K$6:$K$205,D14)</x:f>
        <x:v>11120.04</x:v>
      </x:c>
      <x:c r="F14" s="12" t="n">
        <x:f>(E14-E13)/E13</x:f>
        <x:v>-0.4477266733647777</x:v>
      </x:c>
    </x:row>
    <x:row r="15" ht="15" hidden="0" customHeight="1">
      <x:c r="D15" t="str">
        <x:v>Jan-25</x:v>
      </x:c>
      <x:c r="E15" s="10" t="n">
        <x:f>SUMIFS(Raw_Data!$E$6:$E$205,Raw_Data!$K$6:$K$205,D15)</x:f>
        <x:v>14914.650000000001</x:v>
      </x:c>
      <x:c r="F15" s="12" t="n">
        <x:f>(E15-E14)/E14</x:f>
        <x:v>0.34124067899036337</x:v>
      </x:c>
    </x:row>
    <x:row r="16" ht="15" hidden="0" customHeight="1">
      <x:c r="D16" t="str">
        <x:v>Feb-25</x:v>
      </x:c>
      <x:c r="E16" s="10" t="n">
        <x:f>SUMIFS(Raw_Data!$E$6:$E$205,Raw_Data!$K$6:$K$205,D16)</x:f>
        <x:v>14006.359999999999</x:v>
      </x:c>
      <x:c r="F16" s="12" t="n">
        <x:f>(E16-E15)/E15</x:f>
        <x:v>-0.06089918301803948</x:v>
      </x:c>
    </x:row>
    <x:row r="17" ht="15" hidden="0" customHeight="1">
      <x:c r="D17" t="str">
        <x:v>Mar-25</x:v>
      </x:c>
      <x:c r="E17" s="10" t="n">
        <x:f>SUMIFS(Raw_Data!$E$6:$E$205,Raw_Data!$K$6:$K$205,D17)</x:f>
        <x:v>17655.219999999998</x:v>
      </x:c>
      <x:c r="F17" s="12" t="n">
        <x:f>(E17-E16)/E16</x:f>
        <x:v>0.26051450912299834</x:v>
      </x:c>
    </x:row>
    <x:row r="18" ht="15" hidden="0" customHeight="1">
      <x:c r="D18" t="str">
        <x:v>Apr-25</x:v>
      </x:c>
      <x:c r="E18" s="10" t="n">
        <x:f>SUMIFS(Raw_Data!$E$6:$E$205,Raw_Data!$K$6:$K$205,D18)</x:f>
        <x:v>3212.17</x:v>
      </x:c>
      <x:c r="F18" s="12" t="n">
        <x:f>(E18-E17)/E17</x:f>
        <x:v>-0.818061173975742</x:v>
      </x:c>
    </x:row>
  </x:sheetData>
  <x:conditionalFormatting sqref="F7:F18">
    <x:cfRule type="iconSet" priority="1">
      <x:iconSet iconSet="3Arrows" showValue="1">
        <x:cfvo type="percent" val="0"/>
        <x:cfvo type="percent" val="33"/>
        <x:cfvo type="percent" val="67"/>
      </x:iconSet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.880001068115234" hidden="0" customWidth="1"/>
    <x:col min="2" max="2" width="21.6299991607666" hidden="0" customWidth="1"/>
  </x:cols>
  <x:sheetData>
    <x:row r="2" ht="19.200000762939453" hidden="0" customHeight="1">
      <x:c r="A2" s="1" t="str">
        <x:v>Linear Regression: Profit vs Sales</x:v>
      </x:c>
    </x:row>
    <x:row r="3" ht="15" hidden="0" customHeight="1">
      <x:c r="A3" t="str">
        <x:v>ToolPak-equivalent regression statistics</x:v>
      </x:c>
    </x:row>
    <x:row r="4"/>
    <x:row r="5" ht="15" hidden="0" customHeight="1">
      <x:c r="A5" s="5" t="str">
        <x:v>Statistic</x:v>
      </x:c>
      <x:c r="B5" s="5" t="str">
        <x:v>Value</x:v>
      </x:c>
    </x:row>
    <x:row r="6" ht="15" hidden="0" customHeight="1">
      <x:c r="A6" t="str">
        <x:v>Observations</x:v>
      </x:c>
      <x:c r="B6" t="n">
        <x:v>200</x:v>
      </x:c>
    </x:row>
    <x:row r="7" ht="15" hidden="0" customHeight="1">
      <x:c r="A7" t="str">
        <x:v>Slope</x:v>
      </x:c>
      <x:c r="B7" s="16" t="n">
        <x:f>SLOPE(Raw_Data!$I$6:$I$205,Raw_Data!$E$6:$E$205)</x:f>
        <x:v>0.3508559881951226</x:v>
      </x:c>
    </x:row>
    <x:row r="8" ht="15" hidden="0" customHeight="1">
      <x:c r="A8" t="str">
        <x:v>Intercept</x:v>
      </x:c>
      <x:c r="B8" s="16" t="n">
        <x:f>INTERCEPT(Raw_Data!$I$6:$I$205,Raw_Data!$E$6:$E$205)</x:f>
        <x:v>-1.0315504901914778</x:v>
      </x:c>
    </x:row>
    <x:row r="9" ht="15" hidden="0" customHeight="1">
      <x:c r="A9" t="str">
        <x:v>R Square</x:v>
      </x:c>
      <x:c r="B9" s="16" t="n">
        <x:f>RSQ(Raw_Data!$I$6:$I$205,Raw_Data!$E$6:$E$205)</x:f>
        <x:v>0.5981522996264411</x:v>
      </x:c>
    </x:row>
    <x:row r="10" ht="15" hidden="0" customHeight="1">
      <x:c r="A10" t="str">
        <x:v>Correlation</x:v>
      </x:c>
      <x:c r="B10" s="16" t="n">
        <x:f>CORREL(Raw_Data!$I$6:$I$205,Raw_Data!$E$6:$E$205)</x:f>
        <x:v>0.773403064143426</x:v>
      </x:c>
    </x:row>
    <x:row r="11" ht="15" hidden="0" customHeight="1">
      <x:c r="A11" t="str">
        <x:v>Std. Error</x:v>
      </x:c>
      <x:c r="B11" s="10" t="n">
        <x:f>STEYX(Raw_Data!$I$6:$I$205,Raw_Data!$E$6:$E$205)</x:f>
        <x:v>86.28123052966511</x:v>
      </x:c>
    </x:row>
    <x:row r="12" ht="15" hidden="0" customHeight="1">
      <x:c r="A12" t="str">
        <x:v>Equation</x:v>
      </x:c>
      <x:c r="B12" t="str">
        <x:f>"Profit = "&amp;TEXT(B7,"0.000")&amp;" × Sales + "&amp;TEXT(B8,"0.00")</x:f>
        <x:v>Profit = 0.351 × Sales + -1.03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5" hidden="0" customWidth="1"/>
    <x:col min="2" max="2" width="8" hidden="0" customWidth="1"/>
    <x:col min="3" max="3" width="7.5" hidden="0" customWidth="1"/>
  </x:cols>
  <x:sheetData>
    <x:row r="2" ht="19.200000762939453" hidden="0" customHeight="1">
      <x:c r="A2" s="1" t="str">
        <x:v>Descriptive Statistics</x:v>
      </x:c>
    </x:row>
    <x:row r="3" ht="15" hidden="0" customHeight="1">
      <x:c r="A3" t="str">
        <x:v>ToolPak-equivalent summary measures</x:v>
      </x:c>
    </x:row>
    <x:row r="4"/>
    <x:row r="5" ht="15" hidden="0" customHeight="1">
      <x:c r="A5" s="5" t="str">
        <x:v>Statistic</x:v>
      </x:c>
      <x:c r="B5" s="5" t="str">
        <x:v>Sales</x:v>
      </x:c>
      <x:c r="C5" s="5" t="str">
        <x:v>Profit</x:v>
      </x:c>
    </x:row>
    <x:row r="6" ht="15" hidden="0" customHeight="1">
      <x:c r="A6" t="str">
        <x:v>Count</x:v>
      </x:c>
      <x:c r="B6" t="n">
        <x:f>COUNT(Raw_Data!$E$6:$E$205)</x:f>
        <x:v>200</x:v>
      </x:c>
      <x:c r="C6" t="n">
        <x:f>COUNT(Raw_Data!$I$6:$I$205)</x:f>
        <x:v>200</x:v>
      </x:c>
    </x:row>
    <x:row r="7" ht="15" hidden="0" customHeight="1">
      <x:c r="A7" t="str">
        <x:v>Mean</x:v>
      </x:c>
      <x:c r="B7" s="6" t="n">
        <x:f>AVERAGE(Raw_Data!$E$6:$E$205)</x:f>
        <x:v>976.0887999999997</x:v>
      </x:c>
      <x:c r="C7" s="6" t="n">
        <x:f>AVERAGE(Raw_Data!$I$6:$I$205)</x:f>
        <x:v>341.43505000000005</x:v>
      </x:c>
    </x:row>
    <x:row r="8" ht="15" hidden="0" customHeight="1">
      <x:c r="A8" t="str">
        <x:v>Median</x:v>
      </x:c>
      <x:c r="B8" s="6" t="n">
        <x:f>MEDIAN(Raw_Data!$E$6:$E$205)</x:f>
        <x:v>976.72</x:v>
      </x:c>
      <x:c r="C8" s="6" t="n">
        <x:f>MEDIAN(Raw_Data!$I$6:$I$205)</x:f>
        <x:v>332.255</x:v>
      </x:c>
    </x:row>
    <x:row r="9" ht="15" hidden="0" customHeight="1">
      <x:c r="A9" t="str">
        <x:v>Minimum</x:v>
      </x:c>
      <x:c r="B9" s="6" t="n">
        <x:f>MIN(Raw_Data!$E$6:$E$205)</x:f>
        <x:v>258.51</x:v>
      </x:c>
      <x:c r="C9" s="6" t="n">
        <x:f>MIN(Raw_Data!$I$6:$I$205)</x:f>
        <x:v>64.63</x:v>
      </x:c>
    </x:row>
    <x:row r="10" ht="15" hidden="0" customHeight="1">
      <x:c r="A10" t="str">
        <x:v>Maximum</x:v>
      </x:c>
      <x:c r="B10" s="6" t="n">
        <x:f>MAX(Raw_Data!$E$6:$E$205)</x:f>
        <x:v>1923.66</x:v>
      </x:c>
      <x:c r="C10" s="6" t="n">
        <x:f>MAX(Raw_Data!$I$6:$I$205)</x:f>
        <x:v>769.46</x:v>
      </x:c>
    </x:row>
    <x:row r="11" ht="15" hidden="0" customHeight="1">
      <x:c r="A11" t="str">
        <x:v>Standard Deviation</x:v>
      </x:c>
      <x:c r="B11" s="6" t="n">
        <x:f>STDEV.S(Raw_Data!$E$6:$E$205)</x:f>
        <x:v>299.2737590985633</x:v>
      </x:c>
      <x:c r="C11" s="6" t="n">
        <x:f>STDEV.S(Raw_Data!$I$6:$I$205)</x:f>
        <x:v>135.76619405521646</x:v>
      </x:c>
    </x:row>
    <x:row r="12" ht="15" hidden="0" customHeight="1">
      <x:c r="A12" t="str">
        <x:v>Variance</x:v>
      </x:c>
      <x:c r="B12" s="17" t="n">
        <x:f>VAR.S(Raw_Data!$E$6:$E$205)</x:f>
        <x:v>89564.7828849849</x:v>
      </x:c>
      <x:c r="C12" s="17" t="n">
        <x:f>VAR.S(Raw_Data!$I$6:$I$205)</x:f>
        <x:v>18432.459448238693</x:v>
      </x:c>
    </x:row>
    <x:row r="13" ht="15" hidden="0" customHeight="1">
      <x:c r="A13" t="str">
        <x:v>Skewness</x:v>
      </x:c>
      <x:c r="B13" s="17" t="n">
        <x:f>SKEW(Raw_Data!$E$6:$E$205)</x:f>
        <x:v>0.14685796564193582</x:v>
      </x:c>
      <x:c r="C13" s="17" t="n">
        <x:f>SKEW(Raw_Data!$I$6:$I$205)</x:f>
        <x:v>0.5733963606342469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.5" hidden="0" customWidth="1"/>
    <x:col min="2" max="2" width="13.630000114440918" hidden="0" customWidth="1"/>
    <x:col min="3" max="3" width="14.630000114440918" hidden="0" customWidth="1"/>
    <x:col min="5" max="5" width="15" hidden="0" customWidth="1"/>
    <x:col min="6" max="6" width="7.25" hidden="0" customWidth="1"/>
  </x:cols>
  <x:sheetData>
    <x:row r="2" ht="19.200000762939453" hidden="0" customHeight="1">
      <x:c r="A2" s="1" t="str">
        <x:v>High-Value Customer Analysis</x:v>
      </x:c>
    </x:row>
    <x:row r="3" ht="15" hidden="0" customHeight="1">
      <x:c r="A3" t="str">
        <x:v>SUMIFS totals, INDEX/MATCH name lookup and FILTER output</x:v>
      </x:c>
    </x:row>
    <x:row r="4"/>
    <x:row r="5" ht="15" hidden="0" customHeight="1">
      <x:c r="A5" s="5" t="str">
        <x:v>Customer_ID</x:v>
      </x:c>
      <x:c r="B5" s="5" t="str">
        <x:v>Total Purchase</x:v>
      </x:c>
      <x:c r="C5" s="5" t="str">
        <x:v>Customer Name</x:v>
      </x:c>
      <x:c r="E5" s="5" t="str">
        <x:v>High-Value Filter</x:v>
      </x:c>
      <x:c r="F5" s="5" t="str"/>
    </x:row>
    <x:row r="6" ht="15" hidden="0" customHeight="1">
      <x:c r="A6" t="str">
        <x:v>CUST001</x:v>
      </x:c>
      <x:c r="B6" s="10" t="n">
        <x:f>SUMIFS(Raw_Data!$E$6:$E$205,Raw_Data!$A$6:$A$205,A6)</x:f>
        <x:v>6549.55</x:v>
      </x:c>
      <x:c r="C6" t="str">
        <x:f>INDEX(Raw_Data!$B$6:$B$205,MATCH(A6,Raw_Data!$A$6:$A$205,0))</x:f>
        <x:v>Linda Wilson</x:v>
      </x:c>
      <x:c r="E6" t="str">
        <x:v>Top-10 Threshold</x:v>
      </x:c>
      <x:c r="F6" s="10" t="n">
        <x:f>LARGE(B6:B35,10)</x:f>
        <x:v>7813.59</x:v>
      </x:c>
    </x:row>
    <x:row r="7" ht="15" hidden="0" customHeight="1">
      <x:c r="A7" t="str">
        <x:v>CUST002</x:v>
      </x:c>
      <x:c r="B7" s="10" t="n">
        <x:f>SUMIFS(Raw_Data!$E$6:$E$205,Raw_Data!$A$6:$A$205,A7)</x:f>
        <x:v>6481.43</x:v>
      </x:c>
      <x:c r="C7" t="str">
        <x:f>INDEX(Raw_Data!$B$6:$B$205,MATCH(A7,Raw_Data!$A$6:$A$205,0))</x:f>
        <x:v>Lisa Davis</x:v>
      </x:c>
      <x:c r="E7" t="str">
        <x:v>Filtered IDs</x:v>
      </x:c>
      <x:c r="F7" t="str" cm="1">
        <x:f t="array" ref="F7:F16">_xlfn.FILTER(A6:A35,B6:B35&gt;=F6,"No match")</x:f>
        <x:v>CUST003</x:v>
      </x:c>
    </x:row>
    <x:row r="8" ht="15" hidden="0" customHeight="1">
      <x:c r="A8" t="str">
        <x:v>CUST003</x:v>
      </x:c>
      <x:c r="B8" s="10" t="n">
        <x:f>SUMIFS(Raw_Data!$E$6:$E$205,Raw_Data!$A$6:$A$205,A8)</x:f>
        <x:v>8490.18</x:v>
      </x:c>
      <x:c r="C8" t="str">
        <x:f>INDEX(Raw_Data!$B$6:$B$205,MATCH(A8,Raw_Data!$A$6:$A$205,0))</x:f>
        <x:v>Emma Davis</x:v>
      </x:c>
      <x:c r="F8" t="str">
        <x:v>CUST004</x:v>
      </x:c>
    </x:row>
    <x:row r="9" ht="15" hidden="0" customHeight="1">
      <x:c r="A9" t="str">
        <x:v>CUST004</x:v>
      </x:c>
      <x:c r="B9" s="10" t="n">
        <x:f>SUMIFS(Raw_Data!$E$6:$E$205,Raw_Data!$A$6:$A$205,A9)</x:f>
        <x:v>7813.59</x:v>
      </x:c>
      <x:c r="C9" t="str">
        <x:f>INDEX(Raw_Data!$B$6:$B$205,MATCH(A9,Raw_Data!$A$6:$A$205,0))</x:f>
        <x:v>Lisa Thomas</x:v>
      </x:c>
      <x:c r="F9" t="str">
        <x:v>CUST007</x:v>
      </x:c>
    </x:row>
    <x:row r="10" ht="15" hidden="0" customHeight="1">
      <x:c r="A10" t="str">
        <x:v>CUST005</x:v>
      </x:c>
      <x:c r="B10" s="10" t="n">
        <x:f>SUMIFS(Raw_Data!$E$6:$E$205,Raw_Data!$A$6:$A$205,A10)</x:f>
        <x:v>6666.130000000001</x:v>
      </x:c>
      <x:c r="C10" t="str">
        <x:f>INDEX(Raw_Data!$B$6:$B$205,MATCH(A10,Raw_Data!$A$6:$A$205,0))</x:f>
        <x:v>Robert Anderson</x:v>
      </x:c>
      <x:c r="F10" t="str">
        <x:v>CUST008</x:v>
      </x:c>
    </x:row>
    <x:row r="11" ht="15" hidden="0" customHeight="1">
      <x:c r="A11" t="str">
        <x:v>CUST006</x:v>
      </x:c>
      <x:c r="B11" s="10" t="n">
        <x:f>SUMIFS(Raw_Data!$E$6:$E$205,Raw_Data!$A$6:$A$205,A11)</x:f>
        <x:v>2699.75</x:v>
      </x:c>
      <x:c r="C11" t="str">
        <x:f>INDEX(Raw_Data!$B$6:$B$205,MATCH(A11,Raw_Data!$A$6:$A$205,0))</x:f>
        <x:v>Mary Jackson</x:v>
      </x:c>
      <x:c r="F11" t="str">
        <x:v>CUST012</x:v>
      </x:c>
    </x:row>
    <x:row r="12" ht="15" hidden="0" customHeight="1">
      <x:c r="A12" t="str">
        <x:v>CUST007</x:v>
      </x:c>
      <x:c r="B12" s="10" t="n">
        <x:f>SUMIFS(Raw_Data!$E$6:$E$205,Raw_Data!$A$6:$A$205,A12)</x:f>
        <x:v>9941.88</x:v>
      </x:c>
      <x:c r="C12" t="str">
        <x:f>INDEX(Raw_Data!$B$6:$B$205,MATCH(A12,Raw_Data!$A$6:$A$205,0))</x:f>
        <x:v>Michael Anderson</x:v>
      </x:c>
      <x:c r="F12" t="str">
        <x:v>CUST015</x:v>
      </x:c>
    </x:row>
    <x:row r="13" ht="15" hidden="0" customHeight="1">
      <x:c r="A13" t="str">
        <x:v>CUST008</x:v>
      </x:c>
      <x:c r="B13" s="10" t="n">
        <x:f>SUMIFS(Raw_Data!$E$6:$E$205,Raw_Data!$A$6:$A$205,A13)</x:f>
        <x:v>9760.8</x:v>
      </x:c>
      <x:c r="C13" t="str">
        <x:f>INDEX(Raw_Data!$B$6:$B$205,MATCH(A13,Raw_Data!$A$6:$A$205,0))</x:f>
        <x:v>Robert Anderson</x:v>
      </x:c>
      <x:c r="F13" t="str">
        <x:v>CUST021</x:v>
      </x:c>
    </x:row>
    <x:row r="14" ht="15" hidden="0" customHeight="1">
      <x:c r="A14" t="str">
        <x:v>CUST009</x:v>
      </x:c>
      <x:c r="B14" s="10" t="n">
        <x:f>SUMIFS(Raw_Data!$E$6:$E$205,Raw_Data!$A$6:$A$205,A14)</x:f>
        <x:v>6505.2</x:v>
      </x:c>
      <x:c r="C14" t="str">
        <x:f>INDEX(Raw_Data!$B$6:$B$205,MATCH(A14,Raw_Data!$A$6:$A$205,0))</x:f>
        <x:v>Linda Jackson</x:v>
      </x:c>
      <x:c r="F14" t="str">
        <x:v>CUST026</x:v>
      </x:c>
    </x:row>
    <x:row r="15" ht="15" hidden="0" customHeight="1">
      <x:c r="A15" t="str">
        <x:v>CUST010</x:v>
      </x:c>
      <x:c r="B15" s="10" t="n">
        <x:f>SUMIFS(Raw_Data!$E$6:$E$205,Raw_Data!$A$6:$A$205,A15)</x:f>
        <x:v>4259.22</x:v>
      </x:c>
      <x:c r="C15" t="str">
        <x:f>INDEX(Raw_Data!$B$6:$B$205,MATCH(A15,Raw_Data!$A$6:$A$205,0))</x:f>
        <x:v>David Thomas</x:v>
      </x:c>
      <x:c r="F15" t="str">
        <x:v>CUST028</x:v>
      </x:c>
    </x:row>
    <x:row r="16" ht="15" hidden="0" customHeight="1">
      <x:c r="A16" t="str">
        <x:v>CUST011</x:v>
      </x:c>
      <x:c r="B16" s="10" t="n">
        <x:f>SUMIFS(Raw_Data!$E$6:$E$205,Raw_Data!$A$6:$A$205,A16)</x:f>
        <x:v>3762.2900000000004</x:v>
      </x:c>
      <x:c r="C16" t="str">
        <x:f>INDEX(Raw_Data!$B$6:$B$205,MATCH(A16,Raw_Data!$A$6:$A$205,0))</x:f>
        <x:v>Mary Davis</x:v>
      </x:c>
      <x:c r="F16" t="str">
        <x:v>CUST030</x:v>
      </x:c>
    </x:row>
    <x:row r="17" ht="15" hidden="0" customHeight="1">
      <x:c r="A17" t="str">
        <x:v>CUST012</x:v>
      </x:c>
      <x:c r="B17" s="10" t="n">
        <x:f>SUMIFS(Raw_Data!$E$6:$E$205,Raw_Data!$A$6:$A$205,A17)</x:f>
        <x:v>8339</x:v>
      </x:c>
      <x:c r="C17" t="str">
        <x:f>INDEX(Raw_Data!$B$6:$B$205,MATCH(A17,Raw_Data!$A$6:$A$205,0))</x:f>
        <x:v>Robert Anderson</x:v>
      </x:c>
    </x:row>
    <x:row r="18" ht="15" hidden="0" customHeight="1">
      <x:c r="A18" t="str">
        <x:v>CUST013</x:v>
      </x:c>
      <x:c r="B18" s="10" t="n">
        <x:f>SUMIFS(Raw_Data!$E$6:$E$205,Raw_Data!$A$6:$A$205,A18)</x:f>
        <x:v>4162.4400000000005</x:v>
      </x:c>
      <x:c r="C18" t="str">
        <x:f>INDEX(Raw_Data!$B$6:$B$205,MATCH(A18,Raw_Data!$A$6:$A$205,0))</x:f>
        <x:v>Robert Anderson</x:v>
      </x:c>
    </x:row>
    <x:row r="19" ht="15" hidden="0" customHeight="1">
      <x:c r="A19" t="str">
        <x:v>CUST014</x:v>
      </x:c>
      <x:c r="B19" s="10" t="n">
        <x:f>SUMIFS(Raw_Data!$E$6:$E$205,Raw_Data!$A$6:$A$205,A19)</x:f>
        <x:v>6729.889999999999</x:v>
      </x:c>
      <x:c r="C19" t="str">
        <x:f>INDEX(Raw_Data!$B$6:$B$205,MATCH(A19,Raw_Data!$A$6:$A$205,0))</x:f>
        <x:v>Emma Davis</x:v>
      </x:c>
    </x:row>
    <x:row r="20" ht="15" hidden="0" customHeight="1">
      <x:c r="A20" t="str">
        <x:v>CUST015</x:v>
      </x:c>
      <x:c r="B20" s="10" t="n">
        <x:f>SUMIFS(Raw_Data!$E$6:$E$205,Raw_Data!$A$6:$A$205,A20)</x:f>
        <x:v>11611.060000000001</x:v>
      </x:c>
      <x:c r="C20" t="str">
        <x:f>INDEX(Raw_Data!$B$6:$B$205,MATCH(A20,Raw_Data!$A$6:$A$205,0))</x:f>
        <x:v>Linda Taylor</x:v>
      </x:c>
    </x:row>
    <x:row r="21" ht="15" hidden="0" customHeight="1">
      <x:c r="A21" t="str">
        <x:v>CUST016</x:v>
      </x:c>
      <x:c r="B21" s="10" t="n">
        <x:f>SUMIFS(Raw_Data!$E$6:$E$205,Raw_Data!$A$6:$A$205,A21)</x:f>
        <x:v>3369.17</x:v>
      </x:c>
      <x:c r="C21" t="str">
        <x:f>INDEX(Raw_Data!$B$6:$B$205,MATCH(A21,Raw_Data!$A$6:$A$205,0))</x:f>
        <x:v>Emma Wilson</x:v>
      </x:c>
    </x:row>
    <x:row r="22" ht="15" hidden="0" customHeight="1">
      <x:c r="A22" t="str">
        <x:v>CUST017</x:v>
      </x:c>
      <x:c r="B22" s="10" t="n">
        <x:f>SUMIFS(Raw_Data!$E$6:$E$205,Raw_Data!$A$6:$A$205,A22)</x:f>
        <x:v>3419.2</x:v>
      </x:c>
      <x:c r="C22" t="str">
        <x:f>INDEX(Raw_Data!$B$6:$B$205,MATCH(A22,Raw_Data!$A$6:$A$205,0))</x:f>
        <x:v>James Taylor</x:v>
      </x:c>
    </x:row>
    <x:row r="23" ht="15" hidden="0" customHeight="1">
      <x:c r="A23" t="str">
        <x:v>CUST018</x:v>
      </x:c>
      <x:c r="B23" s="10" t="n">
        <x:f>SUMIFS(Raw_Data!$E$6:$E$205,Raw_Data!$A$6:$A$205,A23)</x:f>
        <x:v>4951.889999999999</x:v>
      </x:c>
      <x:c r="C23" t="str">
        <x:f>INDEX(Raw_Data!$B$6:$B$205,MATCH(A23,Raw_Data!$A$6:$A$205,0))</x:f>
        <x:v>Mary Jackson</x:v>
      </x:c>
    </x:row>
    <x:row r="24" ht="15" hidden="0" customHeight="1">
      <x:c r="A24" t="str">
        <x:v>CUST019</x:v>
      </x:c>
      <x:c r="B24" s="10" t="n">
        <x:f>SUMIFS(Raw_Data!$E$6:$E$205,Raw_Data!$A$6:$A$205,A24)</x:f>
        <x:v>4640.11</x:v>
      </x:c>
      <x:c r="C24" t="str">
        <x:f>INDEX(Raw_Data!$B$6:$B$205,MATCH(A24,Raw_Data!$A$6:$A$205,0))</x:f>
        <x:v>James Davis</x:v>
      </x:c>
    </x:row>
    <x:row r="25" ht="15" hidden="0" customHeight="1">
      <x:c r="A25" t="str">
        <x:v>CUST020</x:v>
      </x:c>
      <x:c r="B25" s="10" t="n">
        <x:f>SUMIFS(Raw_Data!$E$6:$E$205,Raw_Data!$A$6:$A$205,A25)</x:f>
        <x:v>4413.71</x:v>
      </x:c>
      <x:c r="C25" t="str">
        <x:f>INDEX(Raw_Data!$B$6:$B$205,MATCH(A25,Raw_Data!$A$6:$A$205,0))</x:f>
        <x:v>David Brown</x:v>
      </x:c>
    </x:row>
    <x:row r="26" ht="15" hidden="0" customHeight="1">
      <x:c r="A26" t="str">
        <x:v>CUST021</x:v>
      </x:c>
      <x:c r="B26" s="10" t="n">
        <x:f>SUMIFS(Raw_Data!$E$6:$E$205,Raw_Data!$A$6:$A$205,A26)</x:f>
        <x:v>8740.18</x:v>
      </x:c>
      <x:c r="C26" t="str">
        <x:f>INDEX(Raw_Data!$B$6:$B$205,MATCH(A26,Raw_Data!$A$6:$A$205,0))</x:f>
        <x:v>Sarah Anderson</x:v>
      </x:c>
    </x:row>
    <x:row r="27" ht="15" hidden="0" customHeight="1">
      <x:c r="A27" t="str">
        <x:v>CUST022</x:v>
      </x:c>
      <x:c r="B27" s="10" t="n">
        <x:f>SUMIFS(Raw_Data!$E$6:$E$205,Raw_Data!$A$6:$A$205,A27)</x:f>
        <x:v>4418.280000000001</x:v>
      </x:c>
      <x:c r="C27" t="str">
        <x:f>INDEX(Raw_Data!$B$6:$B$205,MATCH(A27,Raw_Data!$A$6:$A$205,0))</x:f>
        <x:v>Robert Anderson</x:v>
      </x:c>
    </x:row>
    <x:row r="28" ht="15" hidden="0" customHeight="1">
      <x:c r="A28" t="str">
        <x:v>CUST023</x:v>
      </x:c>
      <x:c r="B28" s="10" t="n">
        <x:f>SUMIFS(Raw_Data!$E$6:$E$205,Raw_Data!$A$6:$A$205,A28)</x:f>
        <x:v>5913.68</x:v>
      </x:c>
      <x:c r="C28" t="str">
        <x:f>INDEX(Raw_Data!$B$6:$B$205,MATCH(A28,Raw_Data!$A$6:$A$205,0))</x:f>
        <x:v>Robert Anderson</x:v>
      </x:c>
    </x:row>
    <x:row r="29" ht="15" hidden="0" customHeight="1">
      <x:c r="A29" t="str">
        <x:v>CUST024</x:v>
      </x:c>
      <x:c r="B29" s="10" t="n">
        <x:f>SUMIFS(Raw_Data!$E$6:$E$205,Raw_Data!$A$6:$A$205,A29)</x:f>
        <x:v>7583.129999999999</x:v>
      </x:c>
      <x:c r="C29" t="str">
        <x:f>INDEX(Raw_Data!$B$6:$B$205,MATCH(A29,Raw_Data!$A$6:$A$205,0))</x:f>
        <x:v>David Brown</x:v>
      </x:c>
    </x:row>
    <x:row r="30" ht="15" hidden="0" customHeight="1">
      <x:c r="A30" t="str">
        <x:v>CUST025</x:v>
      </x:c>
      <x:c r="B30" s="10" t="n">
        <x:f>SUMIFS(Raw_Data!$E$6:$E$205,Raw_Data!$A$6:$A$205,A30)</x:f>
        <x:v>6716.52</x:v>
      </x:c>
      <x:c r="C30" t="str">
        <x:f>INDEX(Raw_Data!$B$6:$B$205,MATCH(A30,Raw_Data!$A$6:$A$205,0))</x:f>
        <x:v>David Brown</x:v>
      </x:c>
    </x:row>
    <x:row r="31" ht="15" hidden="0" customHeight="1">
      <x:c r="A31" t="str">
        <x:v>CUST026</x:v>
      </x:c>
      <x:c r="B31" s="10" t="n">
        <x:f>SUMIFS(Raw_Data!$E$6:$E$205,Raw_Data!$A$6:$A$205,A31)</x:f>
        <x:v>9371.81</x:v>
      </x:c>
      <x:c r="C31" t="str">
        <x:f>INDEX(Raw_Data!$B$6:$B$205,MATCH(A31,Raw_Data!$A$6:$A$205,0))</x:f>
        <x:v>Mary Davis</x:v>
      </x:c>
    </x:row>
    <x:row r="32" ht="15" hidden="0" customHeight="1">
      <x:c r="A32" t="str">
        <x:v>CUST027</x:v>
      </x:c>
      <x:c r="B32" s="10" t="n">
        <x:f>SUMIFS(Raw_Data!$E$6:$E$205,Raw_Data!$A$6:$A$205,A32)</x:f>
        <x:v>3906.04</x:v>
      </x:c>
      <x:c r="C32" t="str">
        <x:f>INDEX(Raw_Data!$B$6:$B$205,MATCH(A32,Raw_Data!$A$6:$A$205,0))</x:f>
        <x:v>Emma Davis</x:v>
      </x:c>
    </x:row>
    <x:row r="33" ht="15" hidden="0" customHeight="1">
      <x:c r="A33" t="str">
        <x:v>CUST028</x:v>
      </x:c>
      <x:c r="B33" s="10" t="n">
        <x:f>SUMIFS(Raw_Data!$E$6:$E$205,Raw_Data!$A$6:$A$205,A33)</x:f>
        <x:v>10293.87</x:v>
      </x:c>
      <x:c r="C33" t="str">
        <x:f>INDEX(Raw_Data!$B$6:$B$205,MATCH(A33,Raw_Data!$A$6:$A$205,0))</x:f>
        <x:v>Linda Taylor</x:v>
      </x:c>
    </x:row>
    <x:row r="34" ht="15" hidden="0" customHeight="1">
      <x:c r="A34" t="str">
        <x:v>CUST029</x:v>
      </x:c>
      <x:c r="B34" s="10" t="n">
        <x:f>SUMIFS(Raw_Data!$E$6:$E$205,Raw_Data!$A$6:$A$205,A34)</x:f>
        <x:v>5779.05</x:v>
      </x:c>
      <x:c r="C34" t="str">
        <x:f>INDEX(Raw_Data!$B$6:$B$205,MATCH(A34,Raw_Data!$A$6:$A$205,0))</x:f>
        <x:v>David Smith</x:v>
      </x:c>
    </x:row>
    <x:row r="35" ht="15" hidden="0" customHeight="1">
      <x:c r="A35" t="str">
        <x:v>CUST030</x:v>
      </x:c>
      <x:c r="B35" s="10" t="n">
        <x:f>SUMIFS(Raw_Data!$E$6:$E$205,Raw_Data!$A$6:$A$205,A35)</x:f>
        <x:v>7928.71</x:v>
      </x:c>
      <x:c r="C35" t="str">
        <x:f>INDEX(Raw_Data!$B$6:$B$205,MATCH(A35,Raw_Data!$A$6:$A$205,0))</x:f>
        <x:v>James Wilson</x:v>
      </x:c>
    </x:row>
  </x:sheetData>
  <x:conditionalFormatting sqref="B6:B35">
    <x:cfRule type="top10" dxfId="0" priority="1" rank="10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5" hidden="0" customWidth="1"/>
    <x:col min="2" max="2" width="6.630000114440918" hidden="0" customWidth="1"/>
    <x:col min="3" max="3" width="8" hidden="0" customWidth="1"/>
    <x:col min="4" max="4" width="10.5" hidden="0" customWidth="1"/>
    <x:col min="5" max="5" width="8.630000114440918" hidden="0" customWidth="1"/>
    <x:col min="6" max="6" width="13.880000114440918" hidden="0" customWidth="1"/>
    <x:col min="7" max="7" width="6.630000114440918" hidden="0" customWidth="1"/>
  </x:cols>
  <x:sheetData>
    <x:row r="2" ht="19.200000762939453" hidden="0" customHeight="1">
      <x:c r="A2" s="1" t="str">
        <x:v>Sales by Region and Product</x:v>
      </x:c>
    </x:row>
    <x:row r="3" ht="15" hidden="0" customHeight="1">
      <x:c r="A3" t="str">
        <x:v>Formula-based pivot equivalent</x:v>
      </x:c>
    </x:row>
    <x:row r="4"/>
    <x:row r="5" ht="15" hidden="0" customHeight="1">
      <x:c r="A5" s="5" t="str">
        <x:v>Region</x:v>
      </x:c>
      <x:c r="B5" s="5" t="str">
        <x:v>Books</x:v>
      </x:c>
      <x:c r="C5" s="5" t="str">
        <x:v>Clothing</x:v>
      </x:c>
      <x:c r="D5" s="5" t="str">
        <x:v>Electronics</x:v>
      </x:c>
      <x:c r="E5" s="5" t="str">
        <x:v>Furniture</x:v>
      </x:c>
      <x:c r="F5" s="5" t="str">
        <x:v>Office Supplies</x:v>
      </x:c>
      <x:c r="G5" s="5" t="str">
        <x:v>Total</x:v>
      </x:c>
    </x:row>
    <x:row r="6" ht="15" hidden="0" customHeight="1">
      <x:c r="A6" t="str">
        <x:v>Central</x:v>
      </x:c>
      <x:c r="B6" s="10" t="n">
        <x:f>SUMIFS(Raw_Data!$E$6:$E$205,Raw_Data!$C$6:$C$205,$A6,Raw_Data!$D$6:$D$205,B$5)</x:f>
        <x:v>11297.150000000001</x:v>
      </x:c>
      <x:c r="C6" s="10" t="n">
        <x:f>SUMIFS(Raw_Data!$E$6:$E$205,Raw_Data!$C$6:$C$205,$A6,Raw_Data!$D$6:$D$205,C$5)</x:f>
        <x:v>12200.26</x:v>
      </x:c>
      <x:c r="D6" s="10" t="n">
        <x:f>SUMIFS(Raw_Data!$E$6:$E$205,Raw_Data!$C$6:$C$205,$A6,Raw_Data!$D$6:$D$205,D$5)</x:f>
        <x:v>6621.24</x:v>
      </x:c>
      <x:c r="E6" s="10" t="n">
        <x:f>SUMIFS(Raw_Data!$E$6:$E$205,Raw_Data!$C$6:$C$205,$A6,Raw_Data!$D$6:$D$205,E$5)</x:f>
        <x:v>4876.96</x:v>
      </x:c>
      <x:c r="F6" s="10" t="n">
        <x:f>SUMIFS(Raw_Data!$E$6:$E$205,Raw_Data!$C$6:$C$205,$A6,Raw_Data!$D$6:$D$205,F$5)</x:f>
        <x:v>8472.72</x:v>
      </x:c>
      <x:c r="G6" s="10" t="n">
        <x:f>SUM(B6:F6)</x:f>
        <x:v>43468.33</x:v>
      </x:c>
    </x:row>
    <x:row r="7" ht="15" hidden="0" customHeight="1">
      <x:c r="A7" t="str">
        <x:v>East</x:v>
      </x:c>
      <x:c r="B7" s="10" t="n">
        <x:f>SUMIFS(Raw_Data!$E$6:$E$205,Raw_Data!$C$6:$C$205,$A7,Raw_Data!$D$6:$D$205,B$5)</x:f>
        <x:v>11389.090000000002</x:v>
      </x:c>
      <x:c r="C7" s="10" t="n">
        <x:f>SUMIFS(Raw_Data!$E$6:$E$205,Raw_Data!$C$6:$C$205,$A7,Raw_Data!$D$6:$D$205,C$5)</x:f>
        <x:v>2401.45</x:v>
      </x:c>
      <x:c r="D7" s="10" t="n">
        <x:f>SUMIFS(Raw_Data!$E$6:$E$205,Raw_Data!$C$6:$C$205,$A7,Raw_Data!$D$6:$D$205,D$5)</x:f>
        <x:v>2869.54</x:v>
      </x:c>
      <x:c r="E7" s="10" t="n">
        <x:f>SUMIFS(Raw_Data!$E$6:$E$205,Raw_Data!$C$6:$C$205,$A7,Raw_Data!$D$6:$D$205,E$5)</x:f>
        <x:v>7592.339999999999</x:v>
      </x:c>
      <x:c r="F7" s="10" t="n">
        <x:f>SUMIFS(Raw_Data!$E$6:$E$205,Raw_Data!$C$6:$C$205,$A7,Raw_Data!$D$6:$D$205,F$5)</x:f>
        <x:v>8189.220000000001</x:v>
      </x:c>
      <x:c r="G7" s="10" t="n">
        <x:f>SUM(B7:F7)</x:f>
        <x:v>32441.640000000003</x:v>
      </x:c>
    </x:row>
    <x:row r="8" ht="15" hidden="0" customHeight="1">
      <x:c r="A8" t="str">
        <x:v>North</x:v>
      </x:c>
      <x:c r="B8" s="10" t="n">
        <x:f>SUMIFS(Raw_Data!$E$6:$E$205,Raw_Data!$C$6:$C$205,$A8,Raw_Data!$D$6:$D$205,B$5)</x:f>
        <x:v>8037.010000000001</x:v>
      </x:c>
      <x:c r="C8" s="10" t="n">
        <x:f>SUMIFS(Raw_Data!$E$6:$E$205,Raw_Data!$C$6:$C$205,$A8,Raw_Data!$D$6:$D$205,C$5)</x:f>
        <x:v>8422.82</x:v>
      </x:c>
      <x:c r="D8" s="10" t="n">
        <x:f>SUMIFS(Raw_Data!$E$6:$E$205,Raw_Data!$C$6:$C$205,$A8,Raw_Data!$D$6:$D$205,D$5)</x:f>
        <x:v>8191.709999999999</x:v>
      </x:c>
      <x:c r="E8" s="10" t="n">
        <x:f>SUMIFS(Raw_Data!$E$6:$E$205,Raw_Data!$C$6:$C$205,$A8,Raw_Data!$D$6:$D$205,E$5)</x:f>
        <x:v>6978.08</x:v>
      </x:c>
      <x:c r="F8" s="10" t="n">
        <x:f>SUMIFS(Raw_Data!$E$6:$E$205,Raw_Data!$C$6:$C$205,$A8,Raw_Data!$D$6:$D$205,F$5)</x:f>
        <x:v>3345.8</x:v>
      </x:c>
      <x:c r="G8" s="10" t="n">
        <x:f>SUM(B8:F8)</x:f>
        <x:v>34975.420000000006</x:v>
      </x:c>
    </x:row>
    <x:row r="9" ht="15" hidden="0" customHeight="1">
      <x:c r="A9" t="str">
        <x:v>South</x:v>
      </x:c>
      <x:c r="B9" s="10" t="n">
        <x:f>SUMIFS(Raw_Data!$E$6:$E$205,Raw_Data!$C$6:$C$205,$A9,Raw_Data!$D$6:$D$205,B$5)</x:f>
        <x:v>9588.04</x:v>
      </x:c>
      <x:c r="C9" s="10" t="n">
        <x:f>SUMIFS(Raw_Data!$E$6:$E$205,Raw_Data!$C$6:$C$205,$A9,Raw_Data!$D$6:$D$205,C$5)</x:f>
        <x:v>8393.630000000001</x:v>
      </x:c>
      <x:c r="D9" s="10" t="n">
        <x:f>SUMIFS(Raw_Data!$E$6:$E$205,Raw_Data!$C$6:$C$205,$A9,Raw_Data!$D$6:$D$205,D$5)</x:f>
        <x:v>11989.070000000003</x:v>
      </x:c>
      <x:c r="E9" s="10" t="n">
        <x:f>SUMIFS(Raw_Data!$E$6:$E$205,Raw_Data!$C$6:$C$205,$A9,Raw_Data!$D$6:$D$205,E$5)</x:f>
        <x:v>7982.73</x:v>
      </x:c>
      <x:c r="F9" s="10" t="n">
        <x:f>SUMIFS(Raw_Data!$E$6:$E$205,Raw_Data!$C$6:$C$205,$A9,Raw_Data!$D$6:$D$205,F$5)</x:f>
        <x:v>2295.3199999999997</x:v>
      </x:c>
      <x:c r="G9" s="10" t="n">
        <x:f>SUM(B9:F9)</x:f>
        <x:v>40248.79</x:v>
      </x:c>
    </x:row>
    <x:row r="10" ht="15" hidden="0" customHeight="1">
      <x:c r="A10" t="str">
        <x:v>West</x:v>
      </x:c>
      <x:c r="B10" s="10" t="n">
        <x:f>SUMIFS(Raw_Data!$E$6:$E$205,Raw_Data!$C$6:$C$205,$A10,Raw_Data!$D$6:$D$205,B$5)</x:f>
        <x:v>6691.17</x:v>
      </x:c>
      <x:c r="C10" s="10" t="n">
        <x:f>SUMIFS(Raw_Data!$E$6:$E$205,Raw_Data!$C$6:$C$205,$A10,Raw_Data!$D$6:$D$205,C$5)</x:f>
        <x:v>10509.429999999998</x:v>
      </x:c>
      <x:c r="D10" s="10" t="n">
        <x:f>SUMIFS(Raw_Data!$E$6:$E$205,Raw_Data!$C$6:$C$205,$A10,Raw_Data!$D$6:$D$205,D$5)</x:f>
        <x:v>11372.44</x:v>
      </x:c>
      <x:c r="E10" s="10" t="n">
        <x:f>SUMIFS(Raw_Data!$E$6:$E$205,Raw_Data!$C$6:$C$205,$A10,Raw_Data!$D$6:$D$205,E$5)</x:f>
        <x:v>9182.78</x:v>
      </x:c>
      <x:c r="F10" s="10" t="n">
        <x:f>SUMIFS(Raw_Data!$E$6:$E$205,Raw_Data!$C$6:$C$205,$A10,Raw_Data!$D$6:$D$205,F$5)</x:f>
        <x:v>6327.76</x:v>
      </x:c>
      <x:c r="G10" s="10" t="n">
        <x:f>SUM(B10:F10)</x:f>
        <x:v>44083.58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.75" hidden="0" customWidth="1"/>
    <x:col min="2" max="2" width="17.6299991607666" hidden="0" customWidth="1"/>
    <x:col min="3" max="3" width="9.25" hidden="0" customWidth="1"/>
    <x:col min="4" max="4" width="19" hidden="0" customWidth="1"/>
    <x:col min="5" max="5" width="8" hidden="0" customWidth="1"/>
    <x:col min="6" max="6" width="10.5" hidden="0" customWidth="1"/>
    <x:col min="7" max="7" width="10.880000114440918" hidden="0" customWidth="1"/>
    <x:col min="8" max="8" width="13" hidden="0" customWidth="1"/>
    <x:col min="9" max="9" width="7.880000114440918" hidden="0" customWidth="1"/>
    <x:col min="10" max="10" width="14.630000114440918" hidden="0" customWidth="1"/>
    <x:col min="11" max="11" width="8.5" hidden="0" customWidth="1"/>
  </x:cols>
  <x:sheetData>
    <x:row r="2" ht="19.200000762939453" hidden="0" customHeight="1">
      <x:c r="A2" s="1" t="str">
        <x:v>Raw Data</x:v>
      </x:c>
    </x:row>
    <x:row r="3" ht="15" hidden="0" customHeight="1">
      <x:c r="A3" t="str">
        <x:v>Supplied PR. 2 Analyzer transaction dataset</x:v>
      </x:c>
    </x:row>
    <x:row r="4"/>
    <x:row r="5" ht="15" hidden="0" customHeight="1">
      <x:c r="A5" s="5" t="str">
        <x:v>Customer_ID</x:v>
      </x:c>
      <x:c r="B5" s="5" t="str">
        <x:v>Customer_Name</x:v>
      </x:c>
      <x:c r="C5" s="5" t="str">
        <x:v>Region</x:v>
      </x:c>
      <x:c r="D5" s="5" t="str">
        <x:v>Product_Category</x:v>
      </x:c>
      <x:c r="E5" s="5" t="str">
        <x:v>Sales</x:v>
      </x:c>
      <x:c r="F5" s="5" t="str">
        <x:v>Quantity</x:v>
      </x:c>
      <x:c r="G5" s="5" t="str">
        <x:v>Discount</x:v>
      </x:c>
      <x:c r="H5" s="5" t="str">
        <x:v>Order_Date</x:v>
      </x:c>
      <x:c r="I5" s="5" t="str">
        <x:v>Profit</x:v>
      </x:c>
      <x:c r="J5" s="5" t="str">
        <x:v>Timestamp</x:v>
      </x:c>
      <x:c r="K5" s="5" t="str">
        <x:v>Month</x:v>
      </x:c>
    </x:row>
    <x:row r="6" ht="15" hidden="0" customHeight="1">
      <x:c r="A6" t="str">
        <x:v>CUST019</x:v>
      </x:c>
      <x:c r="B6" t="str">
        <x:v>James Davis</x:v>
      </x:c>
      <x:c r="C6" t="str">
        <x:v>West</x:v>
      </x:c>
      <x:c r="D6" t="str">
        <x:v>Books</x:v>
      </x:c>
      <x:c r="E6" s="6" t="n">
        <x:v>1036.09</x:v>
      </x:c>
      <x:c r="F6" t="n">
        <x:v>4</x:v>
      </x:c>
      <x:c r="G6" s="7" t="n">
        <x:v>0.2</x:v>
      </x:c>
      <x:c r="H6" s="8" t="n">
        <x:v>45392</x:v>
      </x:c>
      <x:c r="I6" s="6" t="n">
        <x:v>331.55</x:v>
      </x:c>
      <x:c r="J6" s="9" t="n">
        <x:f>NOW()</x:f>
        <x:v>46274</x:v>
      </x:c>
      <x:c r="K6" t="str">
        <x:f>TEXT(H6,"mmm-yy")</x:f>
        <x:v>Apr-24</x:v>
      </x:c>
    </x:row>
    <x:row r="7" ht="15" hidden="0" customHeight="1">
      <x:c r="A7" t="str">
        <x:v>CUST012</x:v>
      </x:c>
      <x:c r="B7" t="str">
        <x:v>Robert Anderson</x:v>
      </x:c>
      <x:c r="C7" t="str">
        <x:v>West</x:v>
      </x:c>
      <x:c r="D7" t="str">
        <x:v>Clothing</x:v>
      </x:c>
      <x:c r="E7" s="6" t="n">
        <x:v>1101.28</x:v>
      </x:c>
      <x:c r="F7" t="n">
        <x:v>3</x:v>
      </x:c>
      <x:c r="G7" s="7" t="n">
        <x:v>0.2</x:v>
      </x:c>
      <x:c r="H7" s="8" t="n">
        <x:v>45393</x:v>
      </x:c>
      <x:c r="I7" s="6" t="n">
        <x:v>440.51</x:v>
      </x:c>
      <x:c r="J7" s="9" t="n">
        <x:f>NOW()</x:f>
        <x:v>46274</x:v>
      </x:c>
      <x:c r="K7" t="str">
        <x:f>TEXT(H7,"mmm-yy")</x:f>
        <x:v>Apr-24</x:v>
      </x:c>
    </x:row>
    <x:row r="8" ht="15" hidden="0" customHeight="1">
      <x:c r="A8" t="str">
        <x:v>CUST017</x:v>
      </x:c>
      <x:c r="B8" t="str">
        <x:v>James Taylor</x:v>
      </x:c>
      <x:c r="C8" t="str">
        <x:v>East</x:v>
      </x:c>
      <x:c r="D8" t="str">
        <x:v>Books</x:v>
      </x:c>
      <x:c r="E8" s="6" t="n">
        <x:v>713.34</x:v>
      </x:c>
      <x:c r="F8" t="n">
        <x:v>17</x:v>
      </x:c>
      <x:c r="G8" s="7" t="n">
        <x:v>0</x:v>
      </x:c>
      <x:c r="H8" s="8" t="n">
        <x:v>45396</x:v>
      </x:c>
      <x:c r="I8" s="6" t="n">
        <x:v>285.34</x:v>
      </x:c>
      <x:c r="J8" s="9" t="n">
        <x:f>NOW()</x:f>
        <x:v>46274</x:v>
      </x:c>
      <x:c r="K8" t="str">
        <x:f>TEXT(H8,"mmm-yy")</x:f>
        <x:v>Apr-24</x:v>
      </x:c>
    </x:row>
    <x:row r="9" ht="15" hidden="0" customHeight="1">
      <x:c r="A9" t="str">
        <x:v>CUST005</x:v>
      </x:c>
      <x:c r="B9" t="str">
        <x:v>Robert Anderson</x:v>
      </x:c>
      <x:c r="C9" t="str">
        <x:v>South</x:v>
      </x:c>
      <x:c r="D9" t="str">
        <x:v>Electronics</x:v>
      </x:c>
      <x:c r="E9" s="6" t="n">
        <x:v>760.93</x:v>
      </x:c>
      <x:c r="F9" t="n">
        <x:v>4</x:v>
      </x:c>
      <x:c r="G9" s="7" t="n">
        <x:v>0.15</x:v>
      </x:c>
      <x:c r="H9" s="8" t="n">
        <x:v>45396</x:v>
      </x:c>
      <x:c r="I9" s="6" t="n">
        <x:v>161.7</x:v>
      </x:c>
      <x:c r="J9" s="9" t="n">
        <x:f>NOW()</x:f>
        <x:v>46274</x:v>
      </x:c>
      <x:c r="K9" t="str">
        <x:f>TEXT(H9,"mmm-yy")</x:f>
        <x:v>Apr-24</x:v>
      </x:c>
    </x:row>
    <x:row r="10" ht="15" hidden="0" customHeight="1">
      <x:c r="A10" t="str">
        <x:v>CUST030</x:v>
      </x:c>
      <x:c r="B10" t="str">
        <x:v>James Wilson</x:v>
      </x:c>
      <x:c r="C10" t="str">
        <x:v>North</x:v>
      </x:c>
      <x:c r="D10" t="str">
        <x:v>Books</x:v>
      </x:c>
      <x:c r="E10" s="6" t="n">
        <x:v>847</x:v>
      </x:c>
      <x:c r="F10" t="n">
        <x:v>12</x:v>
      </x:c>
      <x:c r="G10" s="7" t="n">
        <x:v>0.2</x:v>
      </x:c>
      <x:c r="H10" s="8" t="n">
        <x:v>45397</x:v>
      </x:c>
      <x:c r="I10" s="6" t="n">
        <x:v>271.04</x:v>
      </x:c>
      <x:c r="J10" s="9" t="n">
        <x:f>NOW()</x:f>
        <x:v>46274</x:v>
      </x:c>
      <x:c r="K10" t="str">
        <x:f>TEXT(H10,"mmm-yy")</x:f>
        <x:v>Apr-24</x:v>
      </x:c>
    </x:row>
    <x:row r="11" ht="15" hidden="0" customHeight="1">
      <x:c r="A11" t="str">
        <x:v>CUST007</x:v>
      </x:c>
      <x:c r="B11" t="str">
        <x:v>Michael Anderson</x:v>
      </x:c>
      <x:c r="C11" t="str">
        <x:v>North</x:v>
      </x:c>
      <x:c r="D11" t="str">
        <x:v>Furniture</x:v>
      </x:c>
      <x:c r="E11" s="6" t="n">
        <x:v>965.64</x:v>
      </x:c>
      <x:c r="F11" t="n">
        <x:v>8</x:v>
      </x:c>
      <x:c r="G11" s="7" t="n">
        <x:v>0.1</x:v>
      </x:c>
      <x:c r="H11" s="8" t="n">
        <x:v>45398</x:v>
      </x:c>
      <x:c r="I11" s="6" t="n">
        <x:v>304.18</x:v>
      </x:c>
      <x:c r="J11" s="9" t="n">
        <x:f>NOW()</x:f>
        <x:v>46274</x:v>
      </x:c>
      <x:c r="K11" t="str">
        <x:f>TEXT(H11,"mmm-yy")</x:f>
        <x:v>Apr-24</x:v>
      </x:c>
    </x:row>
    <x:row r="12" ht="15" hidden="0" customHeight="1">
      <x:c r="A12" t="str">
        <x:v>CUST001</x:v>
      </x:c>
      <x:c r="B12" t="str">
        <x:v>Linda Wilson</x:v>
      </x:c>
      <x:c r="C12" t="str">
        <x:v>West</x:v>
      </x:c>
      <x:c r="D12" t="str">
        <x:v>Electronics</x:v>
      </x:c>
      <x:c r="E12" s="6" t="n">
        <x:v>1317.53</x:v>
      </x:c>
      <x:c r="F12" t="n">
        <x:v>12</x:v>
      </x:c>
      <x:c r="G12" s="7" t="n">
        <x:v>0.05</x:v>
      </x:c>
      <x:c r="H12" s="8" t="n">
        <x:v>45398</x:v>
      </x:c>
      <x:c r="I12" s="6" t="n">
        <x:v>312.91</x:v>
      </x:c>
      <x:c r="J12" s="9" t="n">
        <x:f>NOW()</x:f>
        <x:v>46274</x:v>
      </x:c>
      <x:c r="K12" t="str">
        <x:f>TEXT(H12,"mmm-yy")</x:f>
        <x:v>Apr-24</x:v>
      </x:c>
    </x:row>
    <x:row r="13" ht="15" hidden="0" customHeight="1">
      <x:c r="A13" t="str">
        <x:v>CUST026</x:v>
      </x:c>
      <x:c r="B13" t="str">
        <x:v>Mary Davis</x:v>
      </x:c>
      <x:c r="C13" t="str">
        <x:v>East</x:v>
      </x:c>
      <x:c r="D13" t="str">
        <x:v>Furniture</x:v>
      </x:c>
      <x:c r="E13" s="6" t="n">
        <x:v>1074.47</x:v>
      </x:c>
      <x:c r="F13" t="n">
        <x:v>6</x:v>
      </x:c>
      <x:c r="G13" s="7" t="n">
        <x:v>0.2</x:v>
      </x:c>
      <x:c r="H13" s="8" t="n">
        <x:v>45401</x:v>
      </x:c>
      <x:c r="I13" s="6" t="n">
        <x:v>300.85</x:v>
      </x:c>
      <x:c r="J13" s="9" t="n">
        <x:f>NOW()</x:f>
        <x:v>46274</x:v>
      </x:c>
      <x:c r="K13" t="str">
        <x:f>TEXT(H13,"mmm-yy")</x:f>
        <x:v>Apr-24</x:v>
      </x:c>
    </x:row>
    <x:row r="14" ht="15" hidden="0" customHeight="1">
      <x:c r="A14" t="str">
        <x:v>CUST009</x:v>
      </x:c>
      <x:c r="B14" t="str">
        <x:v>Linda Jackson</x:v>
      </x:c>
      <x:c r="C14" t="str">
        <x:v>Central</x:v>
      </x:c>
      <x:c r="D14" t="str">
        <x:v>Books</x:v>
      </x:c>
      <x:c r="E14" s="6" t="n">
        <x:v>501.54</x:v>
      </x:c>
      <x:c r="F14" t="n">
        <x:v>11</x:v>
      </x:c>
      <x:c r="G14" s="7" t="n">
        <x:v>0.05</x:v>
      </x:c>
      <x:c r="H14" s="8" t="n">
        <x:v>45401</x:v>
      </x:c>
      <x:c r="I14" s="6" t="n">
        <x:v>190.59</x:v>
      </x:c>
      <x:c r="J14" s="9" t="n">
        <x:f>NOW()</x:f>
        <x:v>46274</x:v>
      </x:c>
      <x:c r="K14" t="str">
        <x:f>TEXT(H14,"mmm-yy")</x:f>
        <x:v>Apr-24</x:v>
      </x:c>
    </x:row>
    <x:row r="15" ht="15" hidden="0" customHeight="1">
      <x:c r="A15" t="str">
        <x:v>CUST010</x:v>
      </x:c>
      <x:c r="B15" t="str">
        <x:v>David Thomas</x:v>
      </x:c>
      <x:c r="C15" t="str">
        <x:v>Central</x:v>
      </x:c>
      <x:c r="D15" t="str">
        <x:v>Clothing</x:v>
      </x:c>
      <x:c r="E15" s="6" t="n">
        <x:v>737.31</x:v>
      </x:c>
      <x:c r="F15" t="n">
        <x:v>2</x:v>
      </x:c>
      <x:c r="G15" s="7" t="n">
        <x:v>0.05</x:v>
      </x:c>
      <x:c r="H15" s="8" t="n">
        <x:v>45401</x:v>
      </x:c>
      <x:c r="I15" s="6" t="n">
        <x:v>350.22</x:v>
      </x:c>
      <x:c r="J15" s="9" t="n">
        <x:f>NOW()</x:f>
        <x:v>46274</x:v>
      </x:c>
      <x:c r="K15" t="str">
        <x:f>TEXT(H15,"mmm-yy")</x:f>
        <x:v>Apr-24</x:v>
      </x:c>
    </x:row>
    <x:row r="16" ht="15" hidden="0" customHeight="1">
      <x:c r="A16" t="str">
        <x:v>CUST014</x:v>
      </x:c>
      <x:c r="B16" t="str">
        <x:v>Emma Davis</x:v>
      </x:c>
      <x:c r="C16" t="str">
        <x:v>West</x:v>
      </x:c>
      <x:c r="D16" t="str">
        <x:v>Office Supplies</x:v>
      </x:c>
      <x:c r="E16" s="6" t="n">
        <x:v>1572.82</x:v>
      </x:c>
      <x:c r="F16" t="n">
        <x:v>6</x:v>
      </x:c>
      <x:c r="G16" s="7" t="n">
        <x:v>0.05</x:v>
      </x:c>
      <x:c r="H16" s="8" t="n">
        <x:v>45402</x:v>
      </x:c>
      <x:c r="I16" s="6" t="n">
        <x:v>672.38</x:v>
      </x:c>
      <x:c r="J16" s="9" t="n">
        <x:f>NOW()</x:f>
        <x:v>46274</x:v>
      </x:c>
      <x:c r="K16" t="str">
        <x:f>TEXT(H16,"mmm-yy")</x:f>
        <x:v>Apr-24</x:v>
      </x:c>
    </x:row>
    <x:row r="17" ht="15" hidden="0" customHeight="1">
      <x:c r="A17" t="str">
        <x:v>CUST014</x:v>
      </x:c>
      <x:c r="B17" t="str">
        <x:v>David Thomas</x:v>
      </x:c>
      <x:c r="C17" t="str">
        <x:v>Central</x:v>
      </x:c>
      <x:c r="D17" t="str">
        <x:v>Books</x:v>
      </x:c>
      <x:c r="E17" s="6" t="n">
        <x:v>1343.13</x:v>
      </x:c>
      <x:c r="F17" t="n">
        <x:v>14</x:v>
      </x:c>
      <x:c r="G17" s="7" t="n">
        <x:v>0.15</x:v>
      </x:c>
      <x:c r="H17" s="8" t="n">
        <x:v>45404</x:v>
      </x:c>
      <x:c r="I17" s="6" t="n">
        <x:v>456.66</x:v>
      </x:c>
      <x:c r="J17" s="9" t="n">
        <x:f>NOW()</x:f>
        <x:v>46274</x:v>
      </x:c>
      <x:c r="K17" t="str">
        <x:f>TEXT(H17,"mmm-yy")</x:f>
        <x:v>Apr-24</x:v>
      </x:c>
    </x:row>
    <x:row r="18" ht="15" hidden="0" customHeight="1">
      <x:c r="A18" t="str">
        <x:v>CUST007</x:v>
      </x:c>
      <x:c r="B18" t="str">
        <x:v>Michael Anderson</x:v>
      </x:c>
      <x:c r="C18" t="str">
        <x:v>Central</x:v>
      </x:c>
      <x:c r="D18" t="str">
        <x:v>Books</x:v>
      </x:c>
      <x:c r="E18" s="6" t="n">
        <x:v>1191.58</x:v>
      </x:c>
      <x:c r="F18" t="n">
        <x:v>14</x:v>
      </x:c>
      <x:c r="G18" s="7" t="n">
        <x:v>0.05</x:v>
      </x:c>
      <x:c r="H18" s="8" t="n">
        <x:v>45406</x:v>
      </x:c>
      <x:c r="I18" s="6" t="n">
        <x:v>452.8</x:v>
      </x:c>
      <x:c r="J18" s="9" t="n">
        <x:f>NOW()</x:f>
        <x:v>46274</x:v>
      </x:c>
      <x:c r="K18" t="str">
        <x:f>TEXT(H18,"mmm-yy")</x:f>
        <x:v>Apr-24</x:v>
      </x:c>
    </x:row>
    <x:row r="19" ht="15" hidden="0" customHeight="1">
      <x:c r="A19" t="str">
        <x:v>CUST023</x:v>
      </x:c>
      <x:c r="B19" t="str">
        <x:v>Robert Anderson</x:v>
      </x:c>
      <x:c r="C19" t="str">
        <x:v>West</x:v>
      </x:c>
      <x:c r="D19" t="str">
        <x:v>Furniture</x:v>
      </x:c>
      <x:c r="E19" s="6" t="n">
        <x:v>822.28</x:v>
      </x:c>
      <x:c r="F19" t="n">
        <x:v>7</x:v>
      </x:c>
      <x:c r="G19" s="7" t="n">
        <x:v>0.05</x:v>
      </x:c>
      <x:c r="H19" s="8" t="n">
        <x:v>45406</x:v>
      </x:c>
      <x:c r="I19" s="6" t="n">
        <x:v>273.41</x:v>
      </x:c>
      <x:c r="J19" s="9" t="n">
        <x:f>NOW()</x:f>
        <x:v>46274</x:v>
      </x:c>
      <x:c r="K19" t="str">
        <x:f>TEXT(H19,"mmm-yy")</x:f>
        <x:v>Apr-24</x:v>
      </x:c>
    </x:row>
    <x:row r="20" ht="15" hidden="0" customHeight="1">
      <x:c r="A20" t="str">
        <x:v>CUST029</x:v>
      </x:c>
      <x:c r="B20" t="str">
        <x:v>David Smith</x:v>
      </x:c>
      <x:c r="C20" t="str">
        <x:v>North</x:v>
      </x:c>
      <x:c r="D20" t="str">
        <x:v>Furniture</x:v>
      </x:c>
      <x:c r="E20" s="6" t="n">
        <x:v>521.67</x:v>
      </x:c>
      <x:c r="F20" t="n">
        <x:v>15</x:v>
      </x:c>
      <x:c r="G20" s="7" t="n">
        <x:v>0.15</x:v>
      </x:c>
      <x:c r="H20" s="8" t="n">
        <x:v>45409</x:v>
      </x:c>
      <x:c r="I20" s="6" t="n">
        <x:v>155.2</x:v>
      </x:c>
      <x:c r="J20" s="9" t="n">
        <x:f>NOW()</x:f>
        <x:v>46274</x:v>
      </x:c>
      <x:c r="K20" t="str">
        <x:f>TEXT(H20,"mmm-yy")</x:f>
        <x:v>Apr-24</x:v>
      </x:c>
    </x:row>
    <x:row r="21" ht="15" hidden="0" customHeight="1">
      <x:c r="A21" t="str">
        <x:v>CUST005</x:v>
      </x:c>
      <x:c r="B21" t="str">
        <x:v>Sarah Anderson</x:v>
      </x:c>
      <x:c r="C21" t="str">
        <x:v>South</x:v>
      </x:c>
      <x:c r="D21" t="str">
        <x:v>Electronics</x:v>
      </x:c>
      <x:c r="E21" s="6" t="n">
        <x:v>1502.93</x:v>
      </x:c>
      <x:c r="F21" t="n">
        <x:v>14</x:v>
      </x:c>
      <x:c r="G21" s="7" t="n">
        <x:v>0.2</x:v>
      </x:c>
      <x:c r="H21" s="8" t="n">
        <x:v>45410</x:v>
      </x:c>
      <x:c r="I21" s="6" t="n">
        <x:v>300.59</x:v>
      </x:c>
      <x:c r="J21" s="9" t="n">
        <x:f>NOW()</x:f>
        <x:v>46274</x:v>
      </x:c>
      <x:c r="K21" t="str">
        <x:f>TEXT(H21,"mmm-yy")</x:f>
        <x:v>Apr-24</x:v>
      </x:c>
    </x:row>
    <x:row r="22" ht="15" hidden="0" customHeight="1">
      <x:c r="A22" t="str">
        <x:v>CUST008</x:v>
      </x:c>
      <x:c r="B22" t="str">
        <x:v>Robert Anderson</x:v>
      </x:c>
      <x:c r="C22" t="str">
        <x:v>South</x:v>
      </x:c>
      <x:c r="D22" t="str">
        <x:v>Books</x:v>
      </x:c>
      <x:c r="E22" s="6" t="n">
        <x:v>877.58</x:v>
      </x:c>
      <x:c r="F22" t="n">
        <x:v>10</x:v>
      </x:c>
      <x:c r="G22" s="7" t="n">
        <x:v>0.15</x:v>
      </x:c>
      <x:c r="H22" s="8" t="n">
        <x:v>45411</x:v>
      </x:c>
      <x:c r="I22" s="6" t="n">
        <x:v>298.38</x:v>
      </x:c>
      <x:c r="J22" s="9" t="n">
        <x:f>NOW()</x:f>
        <x:v>46274</x:v>
      </x:c>
      <x:c r="K22" t="str">
        <x:f>TEXT(H22,"mmm-yy")</x:f>
        <x:v>Apr-24</x:v>
      </x:c>
    </x:row>
    <x:row r="23" ht="15" hidden="0" customHeight="1">
      <x:c r="A23" t="str">
        <x:v>CUST001</x:v>
      </x:c>
      <x:c r="B23" t="str">
        <x:v>Lisa Thomas</x:v>
      </x:c>
      <x:c r="C23" t="str">
        <x:v>West</x:v>
      </x:c>
      <x:c r="D23" t="str">
        <x:v>Books</x:v>
      </x:c>
      <x:c r="E23" s="6" t="n">
        <x:v>636.7</x:v>
      </x:c>
      <x:c r="F23" t="n">
        <x:v>4</x:v>
      </x:c>
      <x:c r="G23" s="7" t="n">
        <x:v>0.2</x:v>
      </x:c>
      <x:c r="H23" s="8" t="n">
        <x:v>45411</x:v>
      </x:c>
      <x:c r="I23" s="6" t="n">
        <x:v>203.74</x:v>
      </x:c>
      <x:c r="J23" s="9" t="n">
        <x:f>NOW()</x:f>
        <x:v>46274</x:v>
      </x:c>
      <x:c r="K23" t="str">
        <x:f>TEXT(H23,"mmm-yy")</x:f>
        <x:v>Apr-24</x:v>
      </x:c>
    </x:row>
    <x:row r="24" ht="15" hidden="0" customHeight="1">
      <x:c r="A24" t="str">
        <x:v>CUST006</x:v>
      </x:c>
      <x:c r="B24" t="str">
        <x:v>Mary Jackson</x:v>
      </x:c>
      <x:c r="C24" t="str">
        <x:v>West</x:v>
      </x:c>
      <x:c r="D24" t="str">
        <x:v>Books</x:v>
      </x:c>
      <x:c r="E24" s="6" t="n">
        <x:v>1506.14</x:v>
      </x:c>
      <x:c r="F24" t="n">
        <x:v>13</x:v>
      </x:c>
      <x:c r="G24" s="7" t="n">
        <x:v>0.2</x:v>
      </x:c>
      <x:c r="H24" s="8" t="n">
        <x:v>45412</x:v>
      </x:c>
      <x:c r="I24" s="6" t="n">
        <x:v>481.96</x:v>
      </x:c>
      <x:c r="J24" s="9" t="n">
        <x:f>NOW()</x:f>
        <x:v>46274</x:v>
      </x:c>
      <x:c r="K24" t="str">
        <x:f>TEXT(H24,"mmm-yy")</x:f>
        <x:v>Apr-24</x:v>
      </x:c>
    </x:row>
    <x:row r="25" ht="15" hidden="0" customHeight="1">
      <x:c r="A25" t="str">
        <x:v>CUST026</x:v>
      </x:c>
      <x:c r="B25" t="str">
        <x:v>Mary Davis</x:v>
      </x:c>
      <x:c r="C25" t="str">
        <x:v>Central</x:v>
      </x:c>
      <x:c r="D25" t="str">
        <x:v>Electronics</x:v>
      </x:c>
      <x:c r="E25" s="6" t="n">
        <x:v>645.02</x:v>
      </x:c>
      <x:c r="F25" t="n">
        <x:v>4</x:v>
      </x:c>
      <x:c r="G25" s="7" t="n">
        <x:v>0</x:v>
      </x:c>
      <x:c r="H25" s="8" t="n">
        <x:v>45414</x:v>
      </x:c>
      <x:c r="I25" s="6" t="n">
        <x:v>161.26</x:v>
      </x:c>
      <x:c r="J25" s="9" t="n">
        <x:f>NOW()</x:f>
        <x:v>46274</x:v>
      </x:c>
      <x:c r="K25" t="str">
        <x:f>TEXT(H25,"mmm-yy")</x:f>
        <x:v>May-24</x:v>
      </x:c>
    </x:row>
    <x:row r="26" ht="15" hidden="0" customHeight="1">
      <x:c r="A26" t="str">
        <x:v>CUST007</x:v>
      </x:c>
      <x:c r="B26" t="str">
        <x:v>Lisa Davis</x:v>
      </x:c>
      <x:c r="C26" t="str">
        <x:v>South</x:v>
      </x:c>
      <x:c r="D26" t="str">
        <x:v>Clothing</x:v>
      </x:c>
      <x:c r="E26" s="6" t="n">
        <x:v>953.3</x:v>
      </x:c>
      <x:c r="F26" t="n">
        <x:v>11</x:v>
      </x:c>
      <x:c r="G26" s="7" t="n">
        <x:v>0</x:v>
      </x:c>
      <x:c r="H26" s="8" t="n">
        <x:v>45415</x:v>
      </x:c>
      <x:c r="I26" s="6" t="n">
        <x:v>476.65</x:v>
      </x:c>
      <x:c r="J26" s="9" t="n">
        <x:f>NOW()</x:f>
        <x:v>46274</x:v>
      </x:c>
      <x:c r="K26" t="str">
        <x:f>TEXT(H26,"mmm-yy")</x:f>
        <x:v>May-24</x:v>
      </x:c>
    </x:row>
    <x:row r="27" ht="15" hidden="0" customHeight="1">
      <x:c r="A27" t="str">
        <x:v>CUST022</x:v>
      </x:c>
      <x:c r="B27" t="str">
        <x:v>Robert Anderson</x:v>
      </x:c>
      <x:c r="C27" t="str">
        <x:v>North</x:v>
      </x:c>
      <x:c r="D27" t="str">
        <x:v>Electronics</x:v>
      </x:c>
      <x:c r="E27" s="6" t="n">
        <x:v>388.56</x:v>
      </x:c>
      <x:c r="F27" t="n">
        <x:v>14</x:v>
      </x:c>
      <x:c r="G27" s="7" t="n">
        <x:v>0.15</x:v>
      </x:c>
      <x:c r="H27" s="8" t="n">
        <x:v>45416</x:v>
      </x:c>
      <x:c r="I27" s="6" t="n">
        <x:v>82.57</x:v>
      </x:c>
      <x:c r="J27" s="9" t="n">
        <x:f>NOW()</x:f>
        <x:v>46274</x:v>
      </x:c>
      <x:c r="K27" t="str">
        <x:f>TEXT(H27,"mmm-yy")</x:f>
        <x:v>May-24</x:v>
      </x:c>
    </x:row>
    <x:row r="28" ht="15" hidden="0" customHeight="1">
      <x:c r="A28" t="str">
        <x:v>CUST019</x:v>
      </x:c>
      <x:c r="B28" t="str">
        <x:v>Mary Davis</x:v>
      </x:c>
      <x:c r="C28" t="str">
        <x:v>West</x:v>
      </x:c>
      <x:c r="D28" t="str">
        <x:v>Books</x:v>
      </x:c>
      <x:c r="E28" s="6" t="n">
        <x:v>743.17</x:v>
      </x:c>
      <x:c r="F28" t="n">
        <x:v>9</x:v>
      </x:c>
      <x:c r="G28" s="7" t="n">
        <x:v>0</x:v>
      </x:c>
      <x:c r="H28" s="8" t="n">
        <x:v>45416</x:v>
      </x:c>
      <x:c r="I28" s="6" t="n">
        <x:v>297.27</x:v>
      </x:c>
      <x:c r="J28" s="9" t="n">
        <x:f>NOW()</x:f>
        <x:v>46274</x:v>
      </x:c>
      <x:c r="K28" t="str">
        <x:f>TEXT(H28,"mmm-yy")</x:f>
        <x:v>May-24</x:v>
      </x:c>
    </x:row>
    <x:row r="29" ht="15" hidden="0" customHeight="1">
      <x:c r="A29" t="str">
        <x:v>CUST023</x:v>
      </x:c>
      <x:c r="B29" t="str">
        <x:v>Mary Davis</x:v>
      </x:c>
      <x:c r="C29" t="str">
        <x:v>Central</x:v>
      </x:c>
      <x:c r="D29" t="str">
        <x:v>Electronics</x:v>
      </x:c>
      <x:c r="E29" s="6" t="n">
        <x:v>706.37</x:v>
      </x:c>
      <x:c r="F29" t="n">
        <x:v>6</x:v>
      </x:c>
      <x:c r="G29" s="7" t="n">
        <x:v>0</x:v>
      </x:c>
      <x:c r="H29" s="8" t="n">
        <x:v>45416</x:v>
      </x:c>
      <x:c r="I29" s="6" t="n">
        <x:v>176.59</x:v>
      </x:c>
      <x:c r="J29" s="9" t="n">
        <x:f>NOW()</x:f>
        <x:v>46274</x:v>
      </x:c>
      <x:c r="K29" t="str">
        <x:f>TEXT(H29,"mmm-yy")</x:f>
        <x:v>May-24</x:v>
      </x:c>
    </x:row>
    <x:row r="30" ht="15" hidden="0" customHeight="1">
      <x:c r="A30" t="str">
        <x:v>CUST012</x:v>
      </x:c>
      <x:c r="B30" t="str">
        <x:v>Mary Davis</x:v>
      </x:c>
      <x:c r="C30" t="str">
        <x:v>Central</x:v>
      </x:c>
      <x:c r="D30" t="str">
        <x:v>Office Supplies</x:v>
      </x:c>
      <x:c r="E30" s="6" t="n">
        <x:v>925.31</x:v>
      </x:c>
      <x:c r="F30" t="n">
        <x:v>8</x:v>
      </x:c>
      <x:c r="G30" s="7" t="n">
        <x:v>0.1</x:v>
      </x:c>
      <x:c r="H30" s="8" t="n">
        <x:v>45418</x:v>
      </x:c>
      <x:c r="I30" s="6" t="n">
        <x:v>374.75</x:v>
      </x:c>
      <x:c r="J30" s="9" t="n">
        <x:f>NOW()</x:f>
        <x:v>46274</x:v>
      </x:c>
      <x:c r="K30" t="str">
        <x:f>TEXT(H30,"mmm-yy")</x:f>
        <x:v>May-24</x:v>
      </x:c>
    </x:row>
    <x:row r="31" ht="15" hidden="0" customHeight="1">
      <x:c r="A31" t="str">
        <x:v>CUST010</x:v>
      </x:c>
      <x:c r="B31" t="str">
        <x:v>Linda Brown</x:v>
      </x:c>
      <x:c r="C31" t="str">
        <x:v>South</x:v>
      </x:c>
      <x:c r="D31" t="str">
        <x:v>Electronics</x:v>
      </x:c>
      <x:c r="E31" s="6" t="n">
        <x:v>1173.12</x:v>
      </x:c>
      <x:c r="F31" t="n">
        <x:v>18</x:v>
      </x:c>
      <x:c r="G31" s="7" t="n">
        <x:v>0</x:v>
      </x:c>
      <x:c r="H31" s="8" t="n">
        <x:v>45418</x:v>
      </x:c>
      <x:c r="I31" s="6" t="n">
        <x:v>293.28</x:v>
      </x:c>
      <x:c r="J31" s="9" t="n">
        <x:f>NOW()</x:f>
        <x:v>46274</x:v>
      </x:c>
      <x:c r="K31" t="str">
        <x:f>TEXT(H31,"mmm-yy")</x:f>
        <x:v>May-24</x:v>
      </x:c>
    </x:row>
    <x:row r="32" ht="15" hidden="0" customHeight="1">
      <x:c r="A32" t="str">
        <x:v>CUST030</x:v>
      </x:c>
      <x:c r="B32" t="str">
        <x:v>John Brown</x:v>
      </x:c>
      <x:c r="C32" t="str">
        <x:v>North</x:v>
      </x:c>
      <x:c r="D32" t="str">
        <x:v>Furniture</x:v>
      </x:c>
      <x:c r="E32" s="6" t="n">
        <x:v>675.54</x:v>
      </x:c>
      <x:c r="F32" t="n">
        <x:v>17</x:v>
      </x:c>
      <x:c r="G32" s="7" t="n">
        <x:v>0</x:v>
      </x:c>
      <x:c r="H32" s="8" t="n">
        <x:v>45420</x:v>
      </x:c>
      <x:c r="I32" s="6" t="n">
        <x:v>236.44</x:v>
      </x:c>
      <x:c r="J32" s="9" t="n">
        <x:f>NOW()</x:f>
        <x:v>46274</x:v>
      </x:c>
      <x:c r="K32" t="str">
        <x:f>TEXT(H32,"mmm-yy")</x:f>
        <x:v>May-24</x:v>
      </x:c>
    </x:row>
    <x:row r="33" ht="15" hidden="0" customHeight="1">
      <x:c r="A33" t="str">
        <x:v>CUST007</x:v>
      </x:c>
      <x:c r="B33" t="str">
        <x:v>Robert Anderson</x:v>
      </x:c>
      <x:c r="C33" t="str">
        <x:v>Central</x:v>
      </x:c>
      <x:c r="D33" t="str">
        <x:v>Books</x:v>
      </x:c>
      <x:c r="E33" s="6" t="n">
        <x:v>939.09</x:v>
      </x:c>
      <x:c r="F33" t="n">
        <x:v>2</x:v>
      </x:c>
      <x:c r="G33" s="7" t="n">
        <x:v>0.05</x:v>
      </x:c>
      <x:c r="H33" s="8" t="n">
        <x:v>45422</x:v>
      </x:c>
      <x:c r="I33" s="6" t="n">
        <x:v>356.85</x:v>
      </x:c>
      <x:c r="J33" s="9" t="n">
        <x:f>NOW()</x:f>
        <x:v>46274</x:v>
      </x:c>
      <x:c r="K33" t="str">
        <x:f>TEXT(H33,"mmm-yy")</x:f>
        <x:v>May-24</x:v>
      </x:c>
    </x:row>
    <x:row r="34" ht="15" hidden="0" customHeight="1">
      <x:c r="A34" t="str">
        <x:v>CUST028</x:v>
      </x:c>
      <x:c r="B34" t="str">
        <x:v>Linda Taylor</x:v>
      </x:c>
      <x:c r="C34" t="str">
        <x:v>East</x:v>
      </x:c>
      <x:c r="D34" t="str">
        <x:v>Office Supplies</x:v>
      </x:c>
      <x:c r="E34" s="6" t="n">
        <x:v>983.34</x:v>
      </x:c>
      <x:c r="F34" t="n">
        <x:v>19</x:v>
      </x:c>
      <x:c r="G34" s="7" t="n">
        <x:v>0.1</x:v>
      </x:c>
      <x:c r="H34" s="8" t="n">
        <x:v>45426</x:v>
      </x:c>
      <x:c r="I34" s="6" t="n">
        <x:v>398.25</x:v>
      </x:c>
      <x:c r="J34" s="9" t="n">
        <x:f>NOW()</x:f>
        <x:v>46274</x:v>
      </x:c>
      <x:c r="K34" t="str">
        <x:f>TEXT(H34,"mmm-yy")</x:f>
        <x:v>May-24</x:v>
      </x:c>
    </x:row>
    <x:row r="35" ht="15" hidden="0" customHeight="1">
      <x:c r="A35" t="str">
        <x:v>CUST028</x:v>
      </x:c>
      <x:c r="B35" t="str">
        <x:v>James Wilson</x:v>
      </x:c>
      <x:c r="C35" t="str">
        <x:v>South</x:v>
      </x:c>
      <x:c r="D35" t="str">
        <x:v>Electronics</x:v>
      </x:c>
      <x:c r="E35" s="6" t="n">
        <x:v>801.21</x:v>
      </x:c>
      <x:c r="F35" t="n">
        <x:v>3</x:v>
      </x:c>
      <x:c r="G35" s="7" t="n">
        <x:v>0.2</x:v>
      </x:c>
      <x:c r="H35" s="8" t="n">
        <x:v>45426</x:v>
      </x:c>
      <x:c r="I35" s="6" t="n">
        <x:v>160.24</x:v>
      </x:c>
      <x:c r="J35" s="9" t="n">
        <x:f>NOW()</x:f>
        <x:v>46274</x:v>
      </x:c>
      <x:c r="K35" t="str">
        <x:f>TEXT(H35,"mmm-yy")</x:f>
        <x:v>May-24</x:v>
      </x:c>
    </x:row>
    <x:row r="36" ht="15" hidden="0" customHeight="1">
      <x:c r="A36" t="str">
        <x:v>CUST025</x:v>
      </x:c>
      <x:c r="B36" t="str">
        <x:v>David Brown</x:v>
      </x:c>
      <x:c r="C36" t="str">
        <x:v>North</x:v>
      </x:c>
      <x:c r="D36" t="str">
        <x:v>Electronics</x:v>
      </x:c>
      <x:c r="E36" s="6" t="n">
        <x:v>1450.71</x:v>
      </x:c>
      <x:c r="F36" t="n">
        <x:v>5</x:v>
      </x:c>
      <x:c r="G36" s="7" t="n">
        <x:v>0.1</x:v>
      </x:c>
      <x:c r="H36" s="8" t="n">
        <x:v>45427</x:v>
      </x:c>
      <x:c r="I36" s="6" t="n">
        <x:v>326.41</x:v>
      </x:c>
      <x:c r="J36" s="9" t="n">
        <x:f>NOW()</x:f>
        <x:v>46274</x:v>
      </x:c>
      <x:c r="K36" t="str">
        <x:f>TEXT(H36,"mmm-yy")</x:f>
        <x:v>May-24</x:v>
      </x:c>
    </x:row>
    <x:row r="37" ht="15" hidden="0" customHeight="1">
      <x:c r="A37" t="str">
        <x:v>CUST022</x:v>
      </x:c>
      <x:c r="B37" t="str">
        <x:v>David Davis</x:v>
      </x:c>
      <x:c r="C37" t="str">
        <x:v>Central</x:v>
      </x:c>
      <x:c r="D37" t="str">
        <x:v>Books</x:v>
      </x:c>
      <x:c r="E37" s="6" t="n">
        <x:v>1023.21</x:v>
      </x:c>
      <x:c r="F37" t="n">
        <x:v>18</x:v>
      </x:c>
      <x:c r="G37" s="7" t="n">
        <x:v>0.05</x:v>
      </x:c>
      <x:c r="H37" s="8" t="n">
        <x:v>45428</x:v>
      </x:c>
      <x:c r="I37" s="6" t="n">
        <x:v>388.82</x:v>
      </x:c>
      <x:c r="J37" s="9" t="n">
        <x:f>NOW()</x:f>
        <x:v>46274</x:v>
      </x:c>
      <x:c r="K37" t="str">
        <x:f>TEXT(H37,"mmm-yy")</x:f>
        <x:v>May-24</x:v>
      </x:c>
    </x:row>
    <x:row r="38" ht="15" hidden="0" customHeight="1">
      <x:c r="A38" t="str">
        <x:v>CUST001</x:v>
      </x:c>
      <x:c r="B38" t="str">
        <x:v>Mary Jackson</x:v>
      </x:c>
      <x:c r="C38" t="str">
        <x:v>West</x:v>
      </x:c>
      <x:c r="D38" t="str">
        <x:v>Furniture</x:v>
      </x:c>
      <x:c r="E38" s="6" t="n">
        <x:v>853.72</x:v>
      </x:c>
      <x:c r="F38" t="n">
        <x:v>5</x:v>
      </x:c>
      <x:c r="G38" s="7" t="n">
        <x:v>0.15</x:v>
      </x:c>
      <x:c r="H38" s="8" t="n">
        <x:v>45428</x:v>
      </x:c>
      <x:c r="I38" s="6" t="n">
        <x:v>253.98</x:v>
      </x:c>
      <x:c r="J38" s="9" t="n">
        <x:f>NOW()</x:f>
        <x:v>46274</x:v>
      </x:c>
      <x:c r="K38" t="str">
        <x:f>TEXT(H38,"mmm-yy")</x:f>
        <x:v>May-24</x:v>
      </x:c>
    </x:row>
    <x:row r="39" ht="15" hidden="0" customHeight="1">
      <x:c r="A39" t="str">
        <x:v>CUST021</x:v>
      </x:c>
      <x:c r="B39" t="str">
        <x:v>Sarah Anderson</x:v>
      </x:c>
      <x:c r="C39" t="str">
        <x:v>South</x:v>
      </x:c>
      <x:c r="D39" t="str">
        <x:v>Electronics</x:v>
      </x:c>
      <x:c r="E39" s="6" t="n">
        <x:v>967.89</x:v>
      </x:c>
      <x:c r="F39" t="n">
        <x:v>10</x:v>
      </x:c>
      <x:c r="G39" s="7" t="n">
        <x:v>0.1</x:v>
      </x:c>
      <x:c r="H39" s="8" t="n">
        <x:v>45429</x:v>
      </x:c>
      <x:c r="I39" s="6" t="n">
        <x:v>217.78</x:v>
      </x:c>
      <x:c r="J39" s="9" t="n">
        <x:f>NOW()</x:f>
        <x:v>46274</x:v>
      </x:c>
      <x:c r="K39" t="str">
        <x:f>TEXT(H39,"mmm-yy")</x:f>
        <x:v>May-24</x:v>
      </x:c>
    </x:row>
    <x:row r="40" ht="15" hidden="0" customHeight="1">
      <x:c r="A40" t="str">
        <x:v>CUST015</x:v>
      </x:c>
      <x:c r="B40" t="str">
        <x:v>Linda Taylor</x:v>
      </x:c>
      <x:c r="C40" t="str">
        <x:v>North</x:v>
      </x:c>
      <x:c r="D40" t="str">
        <x:v>Office Supplies</x:v>
      </x:c>
      <x:c r="E40" s="6" t="n">
        <x:v>1200.9</x:v>
      </x:c>
      <x:c r="F40" t="n">
        <x:v>14</x:v>
      </x:c>
      <x:c r="G40" s="7" t="n">
        <x:v>0.05</x:v>
      </x:c>
      <x:c r="H40" s="8" t="n">
        <x:v>45429</x:v>
      </x:c>
      <x:c r="I40" s="6" t="n">
        <x:v>513.38</x:v>
      </x:c>
      <x:c r="J40" s="9" t="n">
        <x:f>NOW()</x:f>
        <x:v>46274</x:v>
      </x:c>
      <x:c r="K40" t="str">
        <x:f>TEXT(H40,"mmm-yy")</x:f>
        <x:v>May-24</x:v>
      </x:c>
    </x:row>
    <x:row r="41" ht="15" hidden="0" customHeight="1">
      <x:c r="A41" t="str">
        <x:v>CUST012</x:v>
      </x:c>
      <x:c r="B41" t="str">
        <x:v>Michael Anderson</x:v>
      </x:c>
      <x:c r="C41" t="str">
        <x:v>West</x:v>
      </x:c>
      <x:c r="D41" t="str">
        <x:v>Books</x:v>
      </x:c>
      <x:c r="E41" s="6" t="n">
        <x:v>472.38</x:v>
      </x:c>
      <x:c r="F41" t="n">
        <x:v>12</x:v>
      </x:c>
      <x:c r="G41" s="7" t="n">
        <x:v>0.2</x:v>
      </x:c>
      <x:c r="H41" s="8" t="n">
        <x:v>45429</x:v>
      </x:c>
      <x:c r="I41" s="6" t="n">
        <x:v>151.16</x:v>
      </x:c>
      <x:c r="J41" s="9" t="n">
        <x:f>NOW()</x:f>
        <x:v>46274</x:v>
      </x:c>
      <x:c r="K41" t="str">
        <x:f>TEXT(H41,"mmm-yy")</x:f>
        <x:v>May-24</x:v>
      </x:c>
    </x:row>
    <x:row r="42" ht="15" hidden="0" customHeight="1">
      <x:c r="A42" t="str">
        <x:v>CUST019</x:v>
      </x:c>
      <x:c r="B42" t="str">
        <x:v>David Brown</x:v>
      </x:c>
      <x:c r="C42" t="str">
        <x:v>East</x:v>
      </x:c>
      <x:c r="D42" t="str">
        <x:v>Office Supplies</x:v>
      </x:c>
      <x:c r="E42" s="6" t="n">
        <x:v>840.92</x:v>
      </x:c>
      <x:c r="F42" t="n">
        <x:v>9</x:v>
      </x:c>
      <x:c r="G42" s="7" t="n">
        <x:v>0.05</x:v>
      </x:c>
      <x:c r="H42" s="8" t="n">
        <x:v>45429</x:v>
      </x:c>
      <x:c r="I42" s="6" t="n">
        <x:v>359.49</x:v>
      </x:c>
      <x:c r="J42" s="9" t="n">
        <x:f>NOW()</x:f>
        <x:v>46274</x:v>
      </x:c>
      <x:c r="K42" t="str">
        <x:f>TEXT(H42,"mmm-yy")</x:f>
        <x:v>May-24</x:v>
      </x:c>
    </x:row>
    <x:row r="43" ht="15" hidden="0" customHeight="1">
      <x:c r="A43" t="str">
        <x:v>CUST028</x:v>
      </x:c>
      <x:c r="B43" t="str">
        <x:v>Lisa Davis</x:v>
      </x:c>
      <x:c r="C43" t="str">
        <x:v>Central</x:v>
      </x:c>
      <x:c r="D43" t="str">
        <x:v>Furniture</x:v>
      </x:c>
      <x:c r="E43" s="6" t="n">
        <x:v>1410.06</x:v>
      </x:c>
      <x:c r="F43" t="n">
        <x:v>11</x:v>
      </x:c>
      <x:c r="G43" s="7" t="n">
        <x:v>0.05</x:v>
      </x:c>
      <x:c r="H43" s="8" t="n">
        <x:v>45434</x:v>
      </x:c>
      <x:c r="I43" s="6" t="n">
        <x:v>468.84</x:v>
      </x:c>
      <x:c r="J43" s="9" t="n">
        <x:f>NOW()</x:f>
        <x:v>46274</x:v>
      </x:c>
      <x:c r="K43" t="str">
        <x:f>TEXT(H43,"mmm-yy")</x:f>
        <x:v>May-24</x:v>
      </x:c>
    </x:row>
    <x:row r="44" ht="15" hidden="0" customHeight="1">
      <x:c r="A44" t="str">
        <x:v>CUST008</x:v>
      </x:c>
      <x:c r="B44" t="str">
        <x:v>Mary Wilson</x:v>
      </x:c>
      <x:c r="C44" t="str">
        <x:v>Central</x:v>
      </x:c>
      <x:c r="D44" t="str">
        <x:v>Furniture</x:v>
      </x:c>
      <x:c r="E44" s="6" t="n">
        <x:v>773.09</x:v>
      </x:c>
      <x:c r="F44" t="n">
        <x:v>13</x:v>
      </x:c>
      <x:c r="G44" s="7" t="n">
        <x:v>0.15</x:v>
      </x:c>
      <x:c r="H44" s="8" t="n">
        <x:v>45434</x:v>
      </x:c>
      <x:c r="I44" s="6" t="n">
        <x:v>229.99</x:v>
      </x:c>
      <x:c r="J44" s="9" t="n">
        <x:f>NOW()</x:f>
        <x:v>46274</x:v>
      </x:c>
      <x:c r="K44" t="str">
        <x:f>TEXT(H44,"mmm-yy")</x:f>
        <x:v>May-24</x:v>
      </x:c>
    </x:row>
    <x:row r="45" ht="15" hidden="0" customHeight="1">
      <x:c r="A45" t="str">
        <x:v>CUST016</x:v>
      </x:c>
      <x:c r="B45" t="str">
        <x:v>Emma Wilson</x:v>
      </x:c>
      <x:c r="C45" t="str">
        <x:v>East</x:v>
      </x:c>
      <x:c r="D45" t="str">
        <x:v>Books</x:v>
      </x:c>
      <x:c r="E45" s="6" t="n">
        <x:v>580.43</x:v>
      </x:c>
      <x:c r="F45" t="n">
        <x:v>19</x:v>
      </x:c>
      <x:c r="G45" s="7" t="n">
        <x:v>0.15</x:v>
      </x:c>
      <x:c r="H45" s="8" t="n">
        <x:v>45435</x:v>
      </x:c>
      <x:c r="I45" s="6" t="n">
        <x:v>197.35</x:v>
      </x:c>
      <x:c r="J45" s="9" t="n">
        <x:f>NOW()</x:f>
        <x:v>46274</x:v>
      </x:c>
      <x:c r="K45" t="str">
        <x:f>TEXT(H45,"mmm-yy")</x:f>
        <x:v>May-24</x:v>
      </x:c>
    </x:row>
    <x:row r="46" ht="15" hidden="0" customHeight="1">
      <x:c r="A46" t="str">
        <x:v>CUST005</x:v>
      </x:c>
      <x:c r="B46" t="str">
        <x:v>David Smith</x:v>
      </x:c>
      <x:c r="C46" t="str">
        <x:v>South</x:v>
      </x:c>
      <x:c r="D46" t="str">
        <x:v>Books</x:v>
      </x:c>
      <x:c r="E46" s="6" t="n">
        <x:v>1151.21</x:v>
      </x:c>
      <x:c r="F46" t="n">
        <x:v>15</x:v>
      </x:c>
      <x:c r="G46" s="7" t="n">
        <x:v>0.1</x:v>
      </x:c>
      <x:c r="H46" s="8" t="n">
        <x:v>45445</x:v>
      </x:c>
      <x:c r="I46" s="6" t="n">
        <x:v>414.44</x:v>
      </x:c>
      <x:c r="J46" s="9" t="n">
        <x:f>NOW()</x:f>
        <x:v>46274</x:v>
      </x:c>
      <x:c r="K46" t="str">
        <x:f>TEXT(H46,"mmm-yy")</x:f>
        <x:v>Jun-24</x:v>
      </x:c>
    </x:row>
    <x:row r="47" ht="15" hidden="0" customHeight="1">
      <x:c r="A47" t="str">
        <x:v>CUST028</x:v>
      </x:c>
      <x:c r="B47" t="str">
        <x:v>James Wilson</x:v>
      </x:c>
      <x:c r="C47" t="str">
        <x:v>Central</x:v>
      </x:c>
      <x:c r="D47" t="str">
        <x:v>Office Supplies</x:v>
      </x:c>
      <x:c r="E47" s="6" t="n">
        <x:v>1025.98</x:v>
      </x:c>
      <x:c r="F47" t="n">
        <x:v>5</x:v>
      </x:c>
      <x:c r="G47" s="7" t="n">
        <x:v>0.2</x:v>
      </x:c>
      <x:c r="H47" s="8" t="n">
        <x:v>45447</x:v>
      </x:c>
      <x:c r="I47" s="6" t="n">
        <x:v>369.35</x:v>
      </x:c>
      <x:c r="J47" s="9" t="n">
        <x:f>NOW()</x:f>
        <x:v>46274</x:v>
      </x:c>
      <x:c r="K47" t="str">
        <x:f>TEXT(H47,"mmm-yy")</x:f>
        <x:v>Jun-24</x:v>
      </x:c>
    </x:row>
    <x:row r="48" ht="15" hidden="0" customHeight="1">
      <x:c r="A48" t="str">
        <x:v>CUST023</x:v>
      </x:c>
      <x:c r="B48" t="str">
        <x:v>David Davis</x:v>
      </x:c>
      <x:c r="C48" t="str">
        <x:v>East</x:v>
      </x:c>
      <x:c r="D48" t="str">
        <x:v>Office Supplies</x:v>
      </x:c>
      <x:c r="E48" s="6" t="n">
        <x:v>556.42</x:v>
      </x:c>
      <x:c r="F48" t="n">
        <x:v>11</x:v>
      </x:c>
      <x:c r="G48" s="7" t="n">
        <x:v>0.15</x:v>
      </x:c>
      <x:c r="H48" s="8" t="n">
        <x:v>45447</x:v>
      </x:c>
      <x:c r="I48" s="6" t="n">
        <x:v>212.83</x:v>
      </x:c>
      <x:c r="J48" s="9" t="n">
        <x:f>NOW()</x:f>
        <x:v>46274</x:v>
      </x:c>
      <x:c r="K48" t="str">
        <x:f>TEXT(H48,"mmm-yy")</x:f>
        <x:v>Jun-24</x:v>
      </x:c>
    </x:row>
    <x:row r="49" ht="15" hidden="0" customHeight="1">
      <x:c r="A49" t="str">
        <x:v>CUST021</x:v>
      </x:c>
      <x:c r="B49" t="str">
        <x:v>James Wilson</x:v>
      </x:c>
      <x:c r="C49" t="str">
        <x:v>Central</x:v>
      </x:c>
      <x:c r="D49" t="str">
        <x:v>Books</x:v>
      </x:c>
      <x:c r="E49" s="6" t="n">
        <x:v>840.85</x:v>
      </x:c>
      <x:c r="F49" t="n">
        <x:v>19</x:v>
      </x:c>
      <x:c r="G49" s="7" t="n">
        <x:v>0.1</x:v>
      </x:c>
      <x:c r="H49" s="8" t="n">
        <x:v>45448</x:v>
      </x:c>
      <x:c r="I49" s="6" t="n">
        <x:v>302.71</x:v>
      </x:c>
      <x:c r="J49" s="9" t="n">
        <x:f>NOW()</x:f>
        <x:v>46274</x:v>
      </x:c>
      <x:c r="K49" t="str">
        <x:f>TEXT(H49,"mmm-yy")</x:f>
        <x:v>Jun-24</x:v>
      </x:c>
    </x:row>
    <x:row r="50" ht="15" hidden="0" customHeight="1">
      <x:c r="A50" t="str">
        <x:v>CUST026</x:v>
      </x:c>
      <x:c r="B50" t="str">
        <x:v>Emma Wilson</x:v>
      </x:c>
      <x:c r="C50" t="str">
        <x:v>North</x:v>
      </x:c>
      <x:c r="D50" t="str">
        <x:v>Furniture</x:v>
      </x:c>
      <x:c r="E50" s="6" t="n">
        <x:v>1227.25</x:v>
      </x:c>
      <x:c r="F50" t="n">
        <x:v>12</x:v>
      </x:c>
      <x:c r="G50" s="7" t="n">
        <x:v>0.15</x:v>
      </x:c>
      <x:c r="H50" s="8" t="n">
        <x:v>45448</x:v>
      </x:c>
      <x:c r="I50" s="6" t="n">
        <x:v>365.11</x:v>
      </x:c>
      <x:c r="J50" s="9" t="n">
        <x:f>NOW()</x:f>
        <x:v>46274</x:v>
      </x:c>
      <x:c r="K50" t="str">
        <x:f>TEXT(H50,"mmm-yy")</x:f>
        <x:v>Jun-24</x:v>
      </x:c>
    </x:row>
    <x:row r="51" ht="15" hidden="0" customHeight="1">
      <x:c r="A51" t="str">
        <x:v>CUST017</x:v>
      </x:c>
      <x:c r="B51" t="str">
        <x:v>Linda Davis</x:v>
      </x:c>
      <x:c r="C51" t="str">
        <x:v>Central</x:v>
      </x:c>
      <x:c r="D51" t="str">
        <x:v>Electronics</x:v>
      </x:c>
      <x:c r="E51" s="6" t="n">
        <x:v>856.7</x:v>
      </x:c>
      <x:c r="F51" t="n">
        <x:v>2</x:v>
      </x:c>
      <x:c r="G51" s="7" t="n">
        <x:v>0</x:v>
      </x:c>
      <x:c r="H51" s="8" t="n">
        <x:v>45449</x:v>
      </x:c>
      <x:c r="I51" s="6" t="n">
        <x:v>214.18</x:v>
      </x:c>
      <x:c r="J51" s="9" t="n">
        <x:f>NOW()</x:f>
        <x:v>46274</x:v>
      </x:c>
      <x:c r="K51" t="str">
        <x:f>TEXT(H51,"mmm-yy")</x:f>
        <x:v>Jun-24</x:v>
      </x:c>
    </x:row>
    <x:row r="52" ht="15" hidden="0" customHeight="1">
      <x:c r="A52" t="str">
        <x:v>CUST025</x:v>
      </x:c>
      <x:c r="B52" t="str">
        <x:v>David Davis</x:v>
      </x:c>
      <x:c r="C52" t="str">
        <x:v>Central</x:v>
      </x:c>
      <x:c r="D52" t="str">
        <x:v>Office Supplies</x:v>
      </x:c>
      <x:c r="E52" s="6" t="n">
        <x:v>1225.42</x:v>
      </x:c>
      <x:c r="F52" t="n">
        <x:v>8</x:v>
      </x:c>
      <x:c r="G52" s="7" t="n">
        <x:v>0.15</x:v>
      </x:c>
      <x:c r="H52" s="8" t="n">
        <x:v>45449</x:v>
      </x:c>
      <x:c r="I52" s="6" t="n">
        <x:v>468.72</x:v>
      </x:c>
      <x:c r="J52" s="9" t="n">
        <x:f>NOW()</x:f>
        <x:v>46274</x:v>
      </x:c>
      <x:c r="K52" t="str">
        <x:f>TEXT(H52,"mmm-yy")</x:f>
        <x:v>Jun-24</x:v>
      </x:c>
    </x:row>
    <x:row r="53" ht="15" hidden="0" customHeight="1">
      <x:c r="A53" t="str">
        <x:v>CUST011</x:v>
      </x:c>
      <x:c r="B53" t="str">
        <x:v>Mary Davis</x:v>
      </x:c>
      <x:c r="C53" t="str">
        <x:v>North</x:v>
      </x:c>
      <x:c r="D53" t="str">
        <x:v>Office Supplies</x:v>
      </x:c>
      <x:c r="E53" s="6" t="n">
        <x:v>1001.57</x:v>
      </x:c>
      <x:c r="F53" t="n">
        <x:v>12</x:v>
      </x:c>
      <x:c r="G53" s="7" t="n">
        <x:v>0</x:v>
      </x:c>
      <x:c r="H53" s="8" t="n">
        <x:v>45450</x:v>
      </x:c>
      <x:c r="I53" s="6" t="n">
        <x:v>450.71</x:v>
      </x:c>
      <x:c r="J53" s="9" t="n">
        <x:f>NOW()</x:f>
        <x:v>46274</x:v>
      </x:c>
      <x:c r="K53" t="str">
        <x:f>TEXT(H53,"mmm-yy")</x:f>
        <x:v>Jun-24</x:v>
      </x:c>
    </x:row>
    <x:row r="54" ht="15" hidden="0" customHeight="1">
      <x:c r="A54" t="str">
        <x:v>CUST021</x:v>
      </x:c>
      <x:c r="B54" t="str">
        <x:v>Michael Anderson</x:v>
      </x:c>
      <x:c r="C54" t="str">
        <x:v>East</x:v>
      </x:c>
      <x:c r="D54" t="str">
        <x:v>Furniture</x:v>
      </x:c>
      <x:c r="E54" s="6" t="n">
        <x:v>1186.85</x:v>
      </x:c>
      <x:c r="F54" t="n">
        <x:v>19</x:v>
      </x:c>
      <x:c r="G54" s="7" t="n">
        <x:v>0.2</x:v>
      </x:c>
      <x:c r="H54" s="8" t="n">
        <x:v>45451</x:v>
      </x:c>
      <x:c r="I54" s="6" t="n">
        <x:v>332.32</x:v>
      </x:c>
      <x:c r="J54" s="9" t="n">
        <x:f>NOW()</x:f>
        <x:v>46274</x:v>
      </x:c>
      <x:c r="K54" t="str">
        <x:f>TEXT(H54,"mmm-yy")</x:f>
        <x:v>Jun-24</x:v>
      </x:c>
    </x:row>
    <x:row r="55" ht="15" hidden="0" customHeight="1">
      <x:c r="A55" t="str">
        <x:v>CUST008</x:v>
      </x:c>
      <x:c r="B55" t="str">
        <x:v>John Brown</x:v>
      </x:c>
      <x:c r="C55" t="str">
        <x:v>South</x:v>
      </x:c>
      <x:c r="D55" t="str">
        <x:v>Electronics</x:v>
      </x:c>
      <x:c r="E55" s="6" t="n">
        <x:v>775.45</x:v>
      </x:c>
      <x:c r="F55" t="n">
        <x:v>6</x:v>
      </x:c>
      <x:c r="G55" s="7" t="n">
        <x:v>0.1</x:v>
      </x:c>
      <x:c r="H55" s="8" t="n">
        <x:v>45457</x:v>
      </x:c>
      <x:c r="I55" s="6" t="n">
        <x:v>174.48</x:v>
      </x:c>
      <x:c r="J55" s="9" t="n">
        <x:f>NOW()</x:f>
        <x:v>46274</x:v>
      </x:c>
      <x:c r="K55" t="str">
        <x:f>TEXT(H55,"mmm-yy")</x:f>
        <x:v>Jun-24</x:v>
      </x:c>
    </x:row>
    <x:row r="56" ht="15" hidden="0" customHeight="1">
      <x:c r="A56" t="str">
        <x:v>CUST007</x:v>
      </x:c>
      <x:c r="B56" t="str">
        <x:v>Linda Jackson</x:v>
      </x:c>
      <x:c r="C56" t="str">
        <x:v>South</x:v>
      </x:c>
      <x:c r="D56" t="str">
        <x:v>Electronics</x:v>
      </x:c>
      <x:c r="E56" s="6" t="n">
        <x:v>1021.47</x:v>
      </x:c>
      <x:c r="F56" t="n">
        <x:v>6</x:v>
      </x:c>
      <x:c r="G56" s="7" t="n">
        <x:v>0.05</x:v>
      </x:c>
      <x:c r="H56" s="8" t="n">
        <x:v>45461</x:v>
      </x:c>
      <x:c r="I56" s="6" t="n">
        <x:v>242.6</x:v>
      </x:c>
      <x:c r="J56" s="9" t="n">
        <x:f>NOW()</x:f>
        <x:v>46274</x:v>
      </x:c>
      <x:c r="K56" t="str">
        <x:f>TEXT(H56,"mmm-yy")</x:f>
        <x:v>Jun-24</x:v>
      </x:c>
    </x:row>
    <x:row r="57" ht="15" hidden="0" customHeight="1">
      <x:c r="A57" t="str">
        <x:v>CUST015</x:v>
      </x:c>
      <x:c r="B57" t="str">
        <x:v>James Wilson</x:v>
      </x:c>
      <x:c r="C57" t="str">
        <x:v>South</x:v>
      </x:c>
      <x:c r="D57" t="str">
        <x:v>Clothing</x:v>
      </x:c>
      <x:c r="E57" s="6" t="n">
        <x:v>1226.62</x:v>
      </x:c>
      <x:c r="F57" t="n">
        <x:v>7</x:v>
      </x:c>
      <x:c r="G57" s="7" t="n">
        <x:v>0.1</x:v>
      </x:c>
      <x:c r="H57" s="8" t="n">
        <x:v>45463</x:v>
      </x:c>
      <x:c r="I57" s="6" t="n">
        <x:v>551.98</x:v>
      </x:c>
      <x:c r="J57" s="9" t="n">
        <x:f>NOW()</x:f>
        <x:v>46274</x:v>
      </x:c>
      <x:c r="K57" t="str">
        <x:f>TEXT(H57,"mmm-yy")</x:f>
        <x:v>Jun-24</x:v>
      </x:c>
    </x:row>
    <x:row r="58" ht="15" hidden="0" customHeight="1">
      <x:c r="A58" t="str">
        <x:v>CUST030</x:v>
      </x:c>
      <x:c r="B58" t="str">
        <x:v>Sarah Davis</x:v>
      </x:c>
      <x:c r="C58" t="str">
        <x:v>South</x:v>
      </x:c>
      <x:c r="D58" t="str">
        <x:v>Furniture</x:v>
      </x:c>
      <x:c r="E58" s="6" t="n">
        <x:v>1086.93</x:v>
      </x:c>
      <x:c r="F58" t="n">
        <x:v>2</x:v>
      </x:c>
      <x:c r="G58" s="7" t="n">
        <x:v>0</x:v>
      </x:c>
      <x:c r="H58" s="8" t="n">
        <x:v>45464</x:v>
      </x:c>
      <x:c r="I58" s="6" t="n">
        <x:v>380.43</x:v>
      </x:c>
      <x:c r="J58" s="9" t="n">
        <x:f>NOW()</x:f>
        <x:v>46274</x:v>
      </x:c>
      <x:c r="K58" t="str">
        <x:f>TEXT(H58,"mmm-yy")</x:f>
        <x:v>Jun-24</x:v>
      </x:c>
    </x:row>
    <x:row r="59" ht="15" hidden="0" customHeight="1">
      <x:c r="A59" t="str">
        <x:v>CUST002</x:v>
      </x:c>
      <x:c r="B59" t="str">
        <x:v>Lisa Davis</x:v>
      </x:c>
      <x:c r="C59" t="str">
        <x:v>West</x:v>
      </x:c>
      <x:c r="D59" t="str">
        <x:v>Books</x:v>
      </x:c>
      <x:c r="E59" s="6" t="n">
        <x:v>942.9</x:v>
      </x:c>
      <x:c r="F59" t="n">
        <x:v>18</x:v>
      </x:c>
      <x:c r="G59" s="7" t="n">
        <x:v>0.1</x:v>
      </x:c>
      <x:c r="H59" s="8" t="n">
        <x:v>45466</x:v>
      </x:c>
      <x:c r="I59" s="6" t="n">
        <x:v>339.44</x:v>
      </x:c>
      <x:c r="J59" s="9" t="n">
        <x:f>NOW()</x:f>
        <x:v>46274</x:v>
      </x:c>
      <x:c r="K59" t="str">
        <x:f>TEXT(H59,"mmm-yy")</x:f>
        <x:v>Jun-24</x:v>
      </x:c>
    </x:row>
    <x:row r="60" ht="15" hidden="0" customHeight="1">
      <x:c r="A60" t="str">
        <x:v>CUST009</x:v>
      </x:c>
      <x:c r="B60" t="str">
        <x:v>Emma Davis</x:v>
      </x:c>
      <x:c r="C60" t="str">
        <x:v>North</x:v>
      </x:c>
      <x:c r="D60" t="str">
        <x:v>Electronics</x:v>
      </x:c>
      <x:c r="E60" s="6" t="n">
        <x:v>818.8</x:v>
      </x:c>
      <x:c r="F60" t="n">
        <x:v>15</x:v>
      </x:c>
      <x:c r="G60" s="7" t="n">
        <x:v>0.15</x:v>
      </x:c>
      <x:c r="H60" s="8" t="n">
        <x:v>45468</x:v>
      </x:c>
      <x:c r="I60" s="6" t="n">
        <x:v>173.99</x:v>
      </x:c>
      <x:c r="J60" s="9" t="n">
        <x:f>NOW()</x:f>
        <x:v>46274</x:v>
      </x:c>
      <x:c r="K60" t="str">
        <x:f>TEXT(H60,"mmm-yy")</x:f>
        <x:v>Jun-24</x:v>
      </x:c>
    </x:row>
    <x:row r="61" ht="15" hidden="0" customHeight="1">
      <x:c r="A61" t="str">
        <x:v>CUST005</x:v>
      </x:c>
      <x:c r="B61" t="str">
        <x:v>Robert Anderson</x:v>
      </x:c>
      <x:c r="C61" t="str">
        <x:v>South</x:v>
      </x:c>
      <x:c r="D61" t="str">
        <x:v>Furniture</x:v>
      </x:c>
      <x:c r="E61" s="6" t="n">
        <x:v>919.04</x:v>
      </x:c>
      <x:c r="F61" t="n">
        <x:v>10</x:v>
      </x:c>
      <x:c r="G61" s="7" t="n">
        <x:v>0.2</x:v>
      </x:c>
      <x:c r="H61" s="8" t="n">
        <x:v>45468</x:v>
      </x:c>
      <x:c r="I61" s="6" t="n">
        <x:v>257.33</x:v>
      </x:c>
      <x:c r="J61" s="9" t="n">
        <x:f>NOW()</x:f>
        <x:v>46274</x:v>
      </x:c>
      <x:c r="K61" t="str">
        <x:f>TEXT(H61,"mmm-yy")</x:f>
        <x:v>Jun-24</x:v>
      </x:c>
    </x:row>
    <x:row r="62" ht="15" hidden="0" customHeight="1">
      <x:c r="A62" t="str">
        <x:v>CUST030</x:v>
      </x:c>
      <x:c r="B62" t="str">
        <x:v>Emma Taylor</x:v>
      </x:c>
      <x:c r="C62" t="str">
        <x:v>Central</x:v>
      </x:c>
      <x:c r="D62" t="str">
        <x:v>Books</x:v>
      </x:c>
      <x:c r="E62" s="6" t="n">
        <x:v>973.26</x:v>
      </x:c>
      <x:c r="F62" t="n">
        <x:v>11</x:v>
      </x:c>
      <x:c r="G62" s="7" t="n">
        <x:v>0</x:v>
      </x:c>
      <x:c r="H62" s="8" t="n">
        <x:v>45470</x:v>
      </x:c>
      <x:c r="I62" s="6" t="n">
        <x:v>389.3</x:v>
      </x:c>
      <x:c r="J62" s="9" t="n">
        <x:f>NOW()</x:f>
        <x:v>46274</x:v>
      </x:c>
      <x:c r="K62" t="str">
        <x:f>TEXT(H62,"mmm-yy")</x:f>
        <x:v>Jun-24</x:v>
      </x:c>
    </x:row>
    <x:row r="63" ht="15" hidden="0" customHeight="1">
      <x:c r="A63" t="str">
        <x:v>CUST029</x:v>
      </x:c>
      <x:c r="B63" t="str">
        <x:v>Sarah Davis</x:v>
      </x:c>
      <x:c r="C63" t="str">
        <x:v>North</x:v>
      </x:c>
      <x:c r="D63" t="str">
        <x:v>Electronics</x:v>
      </x:c>
      <x:c r="E63" s="6" t="n">
        <x:v>741.61</x:v>
      </x:c>
      <x:c r="F63" t="n">
        <x:v>1</x:v>
      </x:c>
      <x:c r="G63" s="7" t="n">
        <x:v>0.2</x:v>
      </x:c>
      <x:c r="H63" s="8" t="n">
        <x:v>45471</x:v>
      </x:c>
      <x:c r="I63" s="6" t="n">
        <x:v>148.32</x:v>
      </x:c>
      <x:c r="J63" s="9" t="n">
        <x:f>NOW()</x:f>
        <x:v>46274</x:v>
      </x:c>
      <x:c r="K63" t="str">
        <x:f>TEXT(H63,"mmm-yy")</x:f>
        <x:v>Jun-24</x:v>
      </x:c>
    </x:row>
    <x:row r="64" ht="15" hidden="0" customHeight="1">
      <x:c r="A64" t="str">
        <x:v>CUST003</x:v>
      </x:c>
      <x:c r="B64" t="str">
        <x:v>Emma Davis</x:v>
      </x:c>
      <x:c r="C64" t="str">
        <x:v>North</x:v>
      </x:c>
      <x:c r="D64" t="str">
        <x:v>Books</x:v>
      </x:c>
      <x:c r="E64" s="6" t="n">
        <x:v>1248.82</x:v>
      </x:c>
      <x:c r="F64" t="n">
        <x:v>2</x:v>
      </x:c>
      <x:c r="G64" s="7" t="n">
        <x:v>0.1</x:v>
      </x:c>
      <x:c r="H64" s="8" t="n">
        <x:v>45473</x:v>
      </x:c>
      <x:c r="I64" s="6" t="n">
        <x:v>449.58</x:v>
      </x:c>
      <x:c r="J64" s="9" t="n">
        <x:f>NOW()</x:f>
        <x:v>46274</x:v>
      </x:c>
      <x:c r="K64" t="str">
        <x:f>TEXT(H64,"mmm-yy")</x:f>
        <x:v>Jun-24</x:v>
      </x:c>
    </x:row>
    <x:row r="65" ht="15" hidden="0" customHeight="1">
      <x:c r="A65" t="str">
        <x:v>CUST012</x:v>
      </x:c>
      <x:c r="B65" t="str">
        <x:v>Mary Wilson</x:v>
      </x:c>
      <x:c r="C65" t="str">
        <x:v>West</x:v>
      </x:c>
      <x:c r="D65" t="str">
        <x:v>Clothing</x:v>
      </x:c>
      <x:c r="E65" s="6" t="n">
        <x:v>1360.36</x:v>
      </x:c>
      <x:c r="F65" t="n">
        <x:v>17</x:v>
      </x:c>
      <x:c r="G65" s="7" t="n">
        <x:v>0</x:v>
      </x:c>
      <x:c r="H65" s="8" t="n">
        <x:v>45473</x:v>
      </x:c>
      <x:c r="I65" s="6" t="n">
        <x:v>680.18</x:v>
      </x:c>
      <x:c r="J65" s="9" t="n">
        <x:f>NOW()</x:f>
        <x:v>46274</x:v>
      </x:c>
      <x:c r="K65" t="str">
        <x:f>TEXT(H65,"mmm-yy")</x:f>
        <x:v>Jun-24</x:v>
      </x:c>
    </x:row>
    <x:row r="66" ht="15" hidden="0" customHeight="1">
      <x:c r="A66" t="str">
        <x:v>CUST021</x:v>
      </x:c>
      <x:c r="B66" t="str">
        <x:v>Mary Davis</x:v>
      </x:c>
      <x:c r="C66" t="str">
        <x:v>East</x:v>
      </x:c>
      <x:c r="D66" t="str">
        <x:v>Books</x:v>
      </x:c>
      <x:c r="E66" s="6" t="n">
        <x:v>1383.3</x:v>
      </x:c>
      <x:c r="F66" t="n">
        <x:v>8</x:v>
      </x:c>
      <x:c r="G66" s="7" t="n">
        <x:v>0.1</x:v>
      </x:c>
      <x:c r="H66" s="8" t="n">
        <x:v>45478</x:v>
      </x:c>
      <x:c r="I66" s="6" t="n">
        <x:v>497.99</x:v>
      </x:c>
      <x:c r="J66" s="9" t="n">
        <x:f>NOW()</x:f>
        <x:v>46274</x:v>
      </x:c>
      <x:c r="K66" t="str">
        <x:f>TEXT(H66,"mmm-yy")</x:f>
        <x:v>Jul-24</x:v>
      </x:c>
    </x:row>
    <x:row r="67" ht="15" hidden="0" customHeight="1">
      <x:c r="A67" t="str">
        <x:v>CUST010</x:v>
      </x:c>
      <x:c r="B67" t="str">
        <x:v>David Brown</x:v>
      </x:c>
      <x:c r="C67" t="str">
        <x:v>Central</x:v>
      </x:c>
      <x:c r="D67" t="str">
        <x:v>Office Supplies</x:v>
      </x:c>
      <x:c r="E67" s="6" t="n">
        <x:v>488.99</x:v>
      </x:c>
      <x:c r="F67" t="n">
        <x:v>9</x:v>
      </x:c>
      <x:c r="G67" s="7" t="n">
        <x:v>0</x:v>
      </x:c>
      <x:c r="H67" s="8" t="n">
        <x:v>45479</x:v>
      </x:c>
      <x:c r="I67" s="6" t="n">
        <x:v>220.05</x:v>
      </x:c>
      <x:c r="J67" s="9" t="n">
        <x:f>NOW()</x:f>
        <x:v>46274</x:v>
      </x:c>
      <x:c r="K67" t="str">
        <x:f>TEXT(H67,"mmm-yy")</x:f>
        <x:v>Jul-24</x:v>
      </x:c>
    </x:row>
    <x:row r="68" ht="15" hidden="0" customHeight="1">
      <x:c r="A68" t="str">
        <x:v>CUST026</x:v>
      </x:c>
      <x:c r="B68" t="str">
        <x:v>Mary Davis</x:v>
      </x:c>
      <x:c r="C68" t="str">
        <x:v>East</x:v>
      </x:c>
      <x:c r="D68" t="str">
        <x:v>Furniture</x:v>
      </x:c>
      <x:c r="E68" s="6" t="n">
        <x:v>933.71</x:v>
      </x:c>
      <x:c r="F68" t="n">
        <x:v>17</x:v>
      </x:c>
      <x:c r="G68" s="7" t="n">
        <x:v>0.1</x:v>
      </x:c>
      <x:c r="H68" s="8" t="n">
        <x:v>45481</x:v>
      </x:c>
      <x:c r="I68" s="6" t="n">
        <x:v>294.12</x:v>
      </x:c>
      <x:c r="J68" s="9" t="n">
        <x:f>NOW()</x:f>
        <x:v>46274</x:v>
      </x:c>
      <x:c r="K68" t="str">
        <x:f>TEXT(H68,"mmm-yy")</x:f>
        <x:v>Jul-24</x:v>
      </x:c>
    </x:row>
    <x:row r="69" ht="15" hidden="0" customHeight="1">
      <x:c r="A69" t="str">
        <x:v>CUST003</x:v>
      </x:c>
      <x:c r="B69" t="str">
        <x:v>James Davis</x:v>
      </x:c>
      <x:c r="C69" t="str">
        <x:v>West</x:v>
      </x:c>
      <x:c r="D69" t="str">
        <x:v>Electronics</x:v>
      </x:c>
      <x:c r="E69" s="6" t="n">
        <x:v>1005.53</x:v>
      </x:c>
      <x:c r="F69" t="n">
        <x:v>17</x:v>
      </x:c>
      <x:c r="G69" s="7" t="n">
        <x:v>0.2</x:v>
      </x:c>
      <x:c r="H69" s="8" t="n">
        <x:v>45481</x:v>
      </x:c>
      <x:c r="I69" s="6" t="n">
        <x:v>201.11</x:v>
      </x:c>
      <x:c r="J69" s="9" t="n">
        <x:f>NOW()</x:f>
        <x:v>46274</x:v>
      </x:c>
      <x:c r="K69" t="str">
        <x:f>TEXT(H69,"mmm-yy")</x:f>
        <x:v>Jul-24</x:v>
      </x:c>
    </x:row>
    <x:row r="70" ht="15" hidden="0" customHeight="1">
      <x:c r="A70" t="str">
        <x:v>CUST029</x:v>
      </x:c>
      <x:c r="B70" t="str">
        <x:v>Emma Wilson</x:v>
      </x:c>
      <x:c r="C70" t="str">
        <x:v>South</x:v>
      </x:c>
      <x:c r="D70" t="str">
        <x:v>Electronics</x:v>
      </x:c>
      <x:c r="E70" s="6" t="n">
        <x:v>1100.1</x:v>
      </x:c>
      <x:c r="F70" t="n">
        <x:v>5</x:v>
      </x:c>
      <x:c r="G70" s="7" t="n">
        <x:v>0.05</x:v>
      </x:c>
      <x:c r="H70" s="8" t="n">
        <x:v>45482</x:v>
      </x:c>
      <x:c r="I70" s="6" t="n">
        <x:v>261.27</x:v>
      </x:c>
      <x:c r="J70" s="9" t="n">
        <x:f>NOW()</x:f>
        <x:v>46274</x:v>
      </x:c>
      <x:c r="K70" t="str">
        <x:f>TEXT(H70,"mmm-yy")</x:f>
        <x:v>Jul-24</x:v>
      </x:c>
    </x:row>
    <x:row r="71" ht="15" hidden="0" customHeight="1">
      <x:c r="A71" t="str">
        <x:v>CUST003</x:v>
      </x:c>
      <x:c r="B71" t="str">
        <x:v>James Wilson</x:v>
      </x:c>
      <x:c r="C71" t="str">
        <x:v>North</x:v>
      </x:c>
      <x:c r="D71" t="str">
        <x:v>Furniture</x:v>
      </x:c>
      <x:c r="E71" s="6" t="n">
        <x:v>1034.7</x:v>
      </x:c>
      <x:c r="F71" t="n">
        <x:v>15</x:v>
      </x:c>
      <x:c r="G71" s="7" t="n">
        <x:v>0.15</x:v>
      </x:c>
      <x:c r="H71" s="8" t="n">
        <x:v>45487</x:v>
      </x:c>
      <x:c r="I71" s="6" t="n">
        <x:v>307.82</x:v>
      </x:c>
      <x:c r="J71" s="9" t="n">
        <x:f>NOW()</x:f>
        <x:v>46274</x:v>
      </x:c>
      <x:c r="K71" t="str">
        <x:f>TEXT(H71,"mmm-yy")</x:f>
        <x:v>Jul-24</x:v>
      </x:c>
    </x:row>
    <x:row r="72" ht="15" hidden="0" customHeight="1">
      <x:c r="A72" t="str">
        <x:v>CUST002</x:v>
      </x:c>
      <x:c r="B72" t="str">
        <x:v>Mary Davis</x:v>
      </x:c>
      <x:c r="C72" t="str">
        <x:v>South</x:v>
      </x:c>
      <x:c r="D72" t="str">
        <x:v>Books</x:v>
      </x:c>
      <x:c r="E72" s="6" t="n">
        <x:v>876.44</x:v>
      </x:c>
      <x:c r="F72" t="n">
        <x:v>12</x:v>
      </x:c>
      <x:c r="G72" s="7" t="n">
        <x:v>0.05</x:v>
      </x:c>
      <x:c r="H72" s="8" t="n">
        <x:v>45488</x:v>
      </x:c>
      <x:c r="I72" s="6" t="n">
        <x:v>333.05</x:v>
      </x:c>
      <x:c r="J72" s="9" t="n">
        <x:f>NOW()</x:f>
        <x:v>46274</x:v>
      </x:c>
      <x:c r="K72" t="str">
        <x:f>TEXT(H72,"mmm-yy")</x:f>
        <x:v>Jul-24</x:v>
      </x:c>
    </x:row>
    <x:row r="73" ht="15" hidden="0" customHeight="1">
      <x:c r="A73" t="str">
        <x:v>CUST020</x:v>
      </x:c>
      <x:c r="B73" t="str">
        <x:v>David Brown</x:v>
      </x:c>
      <x:c r="C73" t="str">
        <x:v>West</x:v>
      </x:c>
      <x:c r="D73" t="str">
        <x:v>Furniture</x:v>
      </x:c>
      <x:c r="E73" s="6" t="n">
        <x:v>1371.34</x:v>
      </x:c>
      <x:c r="F73" t="n">
        <x:v>5</x:v>
      </x:c>
      <x:c r="G73" s="7" t="n">
        <x:v>0.05</x:v>
      </x:c>
      <x:c r="H73" s="8" t="n">
        <x:v>45488</x:v>
      </x:c>
      <x:c r="I73" s="6" t="n">
        <x:v>455.97</x:v>
      </x:c>
      <x:c r="J73" s="9" t="n">
        <x:f>NOW()</x:f>
        <x:v>46274</x:v>
      </x:c>
      <x:c r="K73" t="str">
        <x:f>TEXT(H73,"mmm-yy")</x:f>
        <x:v>Jul-24</x:v>
      </x:c>
    </x:row>
    <x:row r="74" ht="15" hidden="0" customHeight="1">
      <x:c r="A74" t="str">
        <x:v>CUST021</x:v>
      </x:c>
      <x:c r="B74" t="str">
        <x:v>Mary Jackson</x:v>
      </x:c>
      <x:c r="C74" t="str">
        <x:v>North</x:v>
      </x:c>
      <x:c r="D74" t="str">
        <x:v>Electronics</x:v>
      </x:c>
      <x:c r="E74" s="6" t="n">
        <x:v>1020.26</x:v>
      </x:c>
      <x:c r="F74" t="n">
        <x:v>11</x:v>
      </x:c>
      <x:c r="G74" s="7" t="n">
        <x:v>0.05</x:v>
      </x:c>
      <x:c r="H74" s="8" t="n">
        <x:v>45494</x:v>
      </x:c>
      <x:c r="I74" s="6" t="n">
        <x:v>242.31</x:v>
      </x:c>
      <x:c r="J74" s="9" t="n">
        <x:f>NOW()</x:f>
        <x:v>46274</x:v>
      </x:c>
      <x:c r="K74" t="str">
        <x:f>TEXT(H74,"mmm-yy")</x:f>
        <x:v>Jul-24</x:v>
      </x:c>
    </x:row>
    <x:row r="75" ht="15" hidden="0" customHeight="1">
      <x:c r="A75" t="str">
        <x:v>CUST008</x:v>
      </x:c>
      <x:c r="B75" t="str">
        <x:v>James Davis</x:v>
      </x:c>
      <x:c r="C75" t="str">
        <x:v>Central</x:v>
      </x:c>
      <x:c r="D75" t="str">
        <x:v>Office Supplies</x:v>
      </x:c>
      <x:c r="E75" s="6" t="n">
        <x:v>804.81</x:v>
      </x:c>
      <x:c r="F75" t="n">
        <x:v>1</x:v>
      </x:c>
      <x:c r="G75" s="7" t="n">
        <x:v>0.05</x:v>
      </x:c>
      <x:c r="H75" s="8" t="n">
        <x:v>45502</x:v>
      </x:c>
      <x:c r="I75" s="6" t="n">
        <x:v>344.06</x:v>
      </x:c>
      <x:c r="J75" s="9" t="n">
        <x:f>NOW()</x:f>
        <x:v>46274</x:v>
      </x:c>
      <x:c r="K75" t="str">
        <x:f>TEXT(H75,"mmm-yy")</x:f>
        <x:v>Jul-24</x:v>
      </x:c>
    </x:row>
    <x:row r="76" ht="15" hidden="0" customHeight="1">
      <x:c r="A76" t="str">
        <x:v>CUST030</x:v>
      </x:c>
      <x:c r="B76" t="str">
        <x:v>David Brown</x:v>
      </x:c>
      <x:c r="C76" t="str">
        <x:v>Central</x:v>
      </x:c>
      <x:c r="D76" t="str">
        <x:v>Electronics</x:v>
      </x:c>
      <x:c r="E76" s="6" t="n">
        <x:v>608.66</x:v>
      </x:c>
      <x:c r="F76" t="n">
        <x:v>1</x:v>
      </x:c>
      <x:c r="G76" s="7" t="n">
        <x:v>0.05</x:v>
      </x:c>
      <x:c r="H76" s="8" t="n">
        <x:v>45503</x:v>
      </x:c>
      <x:c r="I76" s="6" t="n">
        <x:v>144.56</x:v>
      </x:c>
      <x:c r="J76" s="9" t="n">
        <x:f>NOW()</x:f>
        <x:v>46274</x:v>
      </x:c>
      <x:c r="K76" t="str">
        <x:f>TEXT(H76,"mmm-yy")</x:f>
        <x:v>Jul-24</x:v>
      </x:c>
    </x:row>
    <x:row r="77" ht="15" hidden="0" customHeight="1">
      <x:c r="A77" t="str">
        <x:v>CUST020</x:v>
      </x:c>
      <x:c r="B77" t="str">
        <x:v>Linda Moore</x:v>
      </x:c>
      <x:c r="C77" t="str">
        <x:v>South</x:v>
      </x:c>
      <x:c r="D77" t="str">
        <x:v>Office Supplies</x:v>
      </x:c>
      <x:c r="E77" s="6" t="n">
        <x:v>981.2</x:v>
      </x:c>
      <x:c r="F77" t="n">
        <x:v>19</x:v>
      </x:c>
      <x:c r="G77" s="7" t="n">
        <x:v>0</x:v>
      </x:c>
      <x:c r="H77" s="8" t="n">
        <x:v>45504</x:v>
      </x:c>
      <x:c r="I77" s="6" t="n">
        <x:v>441.54</x:v>
      </x:c>
      <x:c r="J77" s="9" t="n">
        <x:f>NOW()</x:f>
        <x:v>46274</x:v>
      </x:c>
      <x:c r="K77" t="str">
        <x:f>TEXT(H77,"mmm-yy")</x:f>
        <x:v>Jul-24</x:v>
      </x:c>
    </x:row>
    <x:row r="78" ht="15" hidden="0" customHeight="1">
      <x:c r="A78" t="str">
        <x:v>CUST024</x:v>
      </x:c>
      <x:c r="B78" t="str">
        <x:v>David Brown</x:v>
      </x:c>
      <x:c r="C78" t="str">
        <x:v>East</x:v>
      </x:c>
      <x:c r="D78" t="str">
        <x:v>Electronics</x:v>
      </x:c>
      <x:c r="E78" s="6" t="n">
        <x:v>539.77</x:v>
      </x:c>
      <x:c r="F78" t="n">
        <x:v>10</x:v>
      </x:c>
      <x:c r="G78" s="7" t="n">
        <x:v>0.15</x:v>
      </x:c>
      <x:c r="H78" s="8" t="n">
        <x:v>45509</x:v>
      </x:c>
      <x:c r="I78" s="6" t="n">
        <x:v>114.7</x:v>
      </x:c>
      <x:c r="J78" s="9" t="n">
        <x:f>NOW()</x:f>
        <x:v>46274</x:v>
      </x:c>
      <x:c r="K78" t="str">
        <x:f>TEXT(H78,"mmm-yy")</x:f>
        <x:v>Aug-24</x:v>
      </x:c>
    </x:row>
    <x:row r="79" ht="15" hidden="0" customHeight="1">
      <x:c r="A79" t="str">
        <x:v>CUST012</x:v>
      </x:c>
      <x:c r="B79" t="str">
        <x:v>David Anderson</x:v>
      </x:c>
      <x:c r="C79" t="str">
        <x:v>South</x:v>
      </x:c>
      <x:c r="D79" t="str">
        <x:v>Books</x:v>
      </x:c>
      <x:c r="E79" s="6" t="n">
        <x:v>804.45</x:v>
      </x:c>
      <x:c r="F79" t="n">
        <x:v>5</x:v>
      </x:c>
      <x:c r="G79" s="7" t="n">
        <x:v>0.2</x:v>
      </x:c>
      <x:c r="H79" s="8" t="n">
        <x:v>45509</x:v>
      </x:c>
      <x:c r="I79" s="6" t="n">
        <x:v>257.42</x:v>
      </x:c>
      <x:c r="J79" s="9" t="n">
        <x:f>NOW()</x:f>
        <x:v>46274</x:v>
      </x:c>
      <x:c r="K79" t="str">
        <x:f>TEXT(H79,"mmm-yy")</x:f>
        <x:v>Aug-24</x:v>
      </x:c>
    </x:row>
    <x:row r="80" ht="15" hidden="0" customHeight="1">
      <x:c r="A80" t="str">
        <x:v>CUST024</x:v>
      </x:c>
      <x:c r="B80" t="str">
        <x:v>Emma Davis</x:v>
      </x:c>
      <x:c r="C80" t="str">
        <x:v>West</x:v>
      </x:c>
      <x:c r="D80" t="str">
        <x:v>Electronics</x:v>
      </x:c>
      <x:c r="E80" s="6" t="n">
        <x:v>1526.6</x:v>
      </x:c>
      <x:c r="F80" t="n">
        <x:v>13</x:v>
      </x:c>
      <x:c r="G80" s="7" t="n">
        <x:v>0.2</x:v>
      </x:c>
      <x:c r="H80" s="8" t="n">
        <x:v>45512</x:v>
      </x:c>
      <x:c r="I80" s="6" t="n">
        <x:v>305.32</x:v>
      </x:c>
      <x:c r="J80" s="9" t="n">
        <x:f>NOW()</x:f>
        <x:v>46274</x:v>
      </x:c>
      <x:c r="K80" t="str">
        <x:f>TEXT(H80,"mmm-yy")</x:f>
        <x:v>Aug-24</x:v>
      </x:c>
    </x:row>
    <x:row r="81" ht="15" hidden="0" customHeight="1">
      <x:c r="A81" t="str">
        <x:v>CUST012</x:v>
      </x:c>
      <x:c r="B81" t="str">
        <x:v>Linda Wilson</x:v>
      </x:c>
      <x:c r="C81" t="str">
        <x:v>West</x:v>
      </x:c>
      <x:c r="D81" t="str">
        <x:v>Electronics</x:v>
      </x:c>
      <x:c r="E81" s="6" t="n">
        <x:v>1215.26</x:v>
      </x:c>
      <x:c r="F81" t="n">
        <x:v>5</x:v>
      </x:c>
      <x:c r="G81" s="7" t="n">
        <x:v>0.15</x:v>
      </x:c>
      <x:c r="H81" s="8" t="n">
        <x:v>45513</x:v>
      </x:c>
      <x:c r="I81" s="6" t="n">
        <x:v>258.24</x:v>
      </x:c>
      <x:c r="J81" s="9" t="n">
        <x:f>NOW()</x:f>
        <x:v>46274</x:v>
      </x:c>
      <x:c r="K81" t="str">
        <x:f>TEXT(H81,"mmm-yy")</x:f>
        <x:v>Aug-24</x:v>
      </x:c>
    </x:row>
    <x:row r="82" ht="15" hidden="0" customHeight="1">
      <x:c r="A82" t="str">
        <x:v>CUST005</x:v>
      </x:c>
      <x:c r="B82" t="str">
        <x:v>Linda Taylor</x:v>
      </x:c>
      <x:c r="C82" t="str">
        <x:v>Central</x:v>
      </x:c>
      <x:c r="D82" t="str">
        <x:v>Furniture</x:v>
      </x:c>
      <x:c r="E82" s="6" t="n">
        <x:v>1261.34</x:v>
      </x:c>
      <x:c r="F82" t="n">
        <x:v>3</x:v>
      </x:c>
      <x:c r="G82" s="7" t="n">
        <x:v>0</x:v>
      </x:c>
      <x:c r="H82" s="8" t="n">
        <x:v>45519</x:v>
      </x:c>
      <x:c r="I82" s="6" t="n">
        <x:v>441.47</x:v>
      </x:c>
      <x:c r="J82" s="9" t="n">
        <x:f>NOW()</x:f>
        <x:v>46274</x:v>
      </x:c>
      <x:c r="K82" t="str">
        <x:f>TEXT(H82,"mmm-yy")</x:f>
        <x:v>Aug-24</x:v>
      </x:c>
    </x:row>
    <x:row r="83" ht="15" hidden="0" customHeight="1">
      <x:c r="A83" t="str">
        <x:v>CUST004</x:v>
      </x:c>
      <x:c r="B83" t="str">
        <x:v>Lisa Thomas</x:v>
      </x:c>
      <x:c r="C83" t="str">
        <x:v>North</x:v>
      </x:c>
      <x:c r="D83" t="str">
        <x:v>Furniture</x:v>
      </x:c>
      <x:c r="E83" s="6" t="n">
        <x:v>518.07</x:v>
      </x:c>
      <x:c r="F83" t="n">
        <x:v>7</x:v>
      </x:c>
      <x:c r="G83" s="7" t="n">
        <x:v>0.05</x:v>
      </x:c>
      <x:c r="H83" s="8" t="n">
        <x:v>45522</x:v>
      </x:c>
      <x:c r="I83" s="6" t="n">
        <x:v>172.26</x:v>
      </x:c>
      <x:c r="J83" s="9" t="n">
        <x:f>NOW()</x:f>
        <x:v>46274</x:v>
      </x:c>
      <x:c r="K83" t="str">
        <x:f>TEXT(H83,"mmm-yy")</x:f>
        <x:v>Aug-24</x:v>
      </x:c>
    </x:row>
    <x:row r="84" ht="15" hidden="0" customHeight="1">
      <x:c r="A84" t="str">
        <x:v>CUST026</x:v>
      </x:c>
      <x:c r="B84" t="str">
        <x:v>Linda Wilson</x:v>
      </x:c>
      <x:c r="C84" t="str">
        <x:v>West</x:v>
      </x:c>
      <x:c r="D84" t="str">
        <x:v>Office Supplies</x:v>
      </x:c>
      <x:c r="E84" s="6" t="n">
        <x:v>1111.34</x:v>
      </x:c>
      <x:c r="F84" t="n">
        <x:v>1</x:v>
      </x:c>
      <x:c r="G84" s="7" t="n">
        <x:v>0</x:v>
      </x:c>
      <x:c r="H84" s="8" t="n">
        <x:v>45523</x:v>
      </x:c>
      <x:c r="I84" s="6" t="n">
        <x:v>500.1</x:v>
      </x:c>
      <x:c r="J84" s="9" t="n">
        <x:f>NOW()</x:f>
        <x:v>46274</x:v>
      </x:c>
      <x:c r="K84" t="str">
        <x:f>TEXT(H84,"mmm-yy")</x:f>
        <x:v>Aug-24</x:v>
      </x:c>
    </x:row>
    <x:row r="85" ht="15" hidden="0" customHeight="1">
      <x:c r="A85" t="str">
        <x:v>CUST030</x:v>
      </x:c>
      <x:c r="B85" t="str">
        <x:v>Mary Davis</x:v>
      </x:c>
      <x:c r="C85" t="str">
        <x:v>East</x:v>
      </x:c>
      <x:c r="D85" t="str">
        <x:v>Clothing</x:v>
      </x:c>
      <x:c r="E85" s="6" t="n">
        <x:v>1291.47</x:v>
      </x:c>
      <x:c r="F85" t="n">
        <x:v>18</x:v>
      </x:c>
      <x:c r="G85" s="7" t="n">
        <x:v>0.1</x:v>
      </x:c>
      <x:c r="H85" s="8" t="n">
        <x:v>45526</x:v>
      </x:c>
      <x:c r="I85" s="6" t="n">
        <x:v>581.16</x:v>
      </x:c>
      <x:c r="J85" s="9" t="n">
        <x:f>NOW()</x:f>
        <x:v>46274</x:v>
      </x:c>
      <x:c r="K85" t="str">
        <x:f>TEXT(H85,"mmm-yy")</x:f>
        <x:v>Aug-24</x:v>
      </x:c>
    </x:row>
    <x:row r="86" ht="15" hidden="0" customHeight="1">
      <x:c r="A86" t="str">
        <x:v>CUST007</x:v>
      </x:c>
      <x:c r="B86" t="str">
        <x:v>David Brown</x:v>
      </x:c>
      <x:c r="C86" t="str">
        <x:v>North</x:v>
      </x:c>
      <x:c r="D86" t="str">
        <x:v>Books</x:v>
      </x:c>
      <x:c r="E86" s="6" t="n">
        <x:v>679.71</x:v>
      </x:c>
      <x:c r="F86" t="n">
        <x:v>19</x:v>
      </x:c>
      <x:c r="G86" s="7" t="n">
        <x:v>0</x:v>
      </x:c>
      <x:c r="H86" s="8" t="n">
        <x:v>45534</x:v>
      </x:c>
      <x:c r="I86" s="6" t="n">
        <x:v>271.88</x:v>
      </x:c>
      <x:c r="J86" s="9" t="n">
        <x:f>NOW()</x:f>
        <x:v>46274</x:v>
      </x:c>
      <x:c r="K86" t="str">
        <x:f>TEXT(H86,"mmm-yy")</x:f>
        <x:v>Aug-24</x:v>
      </x:c>
    </x:row>
    <x:row r="87" ht="15" hidden="0" customHeight="1">
      <x:c r="A87" t="str">
        <x:v>CUST020</x:v>
      </x:c>
      <x:c r="B87" t="str">
        <x:v>Linda Jackson</x:v>
      </x:c>
      <x:c r="C87" t="str">
        <x:v>East</x:v>
      </x:c>
      <x:c r="D87" t="str">
        <x:v>Furniture</x:v>
      </x:c>
      <x:c r="E87" s="6" t="n">
        <x:v>1143.69</x:v>
      </x:c>
      <x:c r="F87" t="n">
        <x:v>17</x:v>
      </x:c>
      <x:c r="G87" s="7" t="n">
        <x:v>0</x:v>
      </x:c>
      <x:c r="H87" s="8" t="n">
        <x:v>45534</x:v>
      </x:c>
      <x:c r="I87" s="6" t="n">
        <x:v>400.29</x:v>
      </x:c>
      <x:c r="J87" s="9" t="n">
        <x:f>NOW()</x:f>
        <x:v>46274</x:v>
      </x:c>
      <x:c r="K87" t="str">
        <x:f>TEXT(H87,"mmm-yy")</x:f>
        <x:v>Aug-24</x:v>
      </x:c>
    </x:row>
    <x:row r="88" ht="15" hidden="0" customHeight="1">
      <x:c r="A88" t="str">
        <x:v>CUST028</x:v>
      </x:c>
      <x:c r="B88" t="str">
        <x:v>Linda Brown</x:v>
      </x:c>
      <x:c r="C88" t="str">
        <x:v>Central</x:v>
      </x:c>
      <x:c r="D88" t="str">
        <x:v>Electronics</x:v>
      </x:c>
      <x:c r="E88" s="6" t="n">
        <x:v>790.08</x:v>
      </x:c>
      <x:c r="F88" t="n">
        <x:v>7</x:v>
      </x:c>
      <x:c r="G88" s="7" t="n">
        <x:v>0.1</x:v>
      </x:c>
      <x:c r="H88" s="8" t="n">
        <x:v>45536</x:v>
      </x:c>
      <x:c r="I88" s="6" t="n">
        <x:v>177.77</x:v>
      </x:c>
      <x:c r="J88" s="9" t="n">
        <x:f>NOW()</x:f>
        <x:v>46274</x:v>
      </x:c>
      <x:c r="K88" t="str">
        <x:f>TEXT(H88,"mmm-yy")</x:f>
        <x:v>Sep-24</x:v>
      </x:c>
    </x:row>
    <x:row r="89" ht="15" hidden="0" customHeight="1">
      <x:c r="A89" t="str">
        <x:v>CUST005</x:v>
      </x:c>
      <x:c r="B89" t="str">
        <x:v>Lisa Davis</x:v>
      </x:c>
      <x:c r="C89" t="str">
        <x:v>Central</x:v>
      </x:c>
      <x:c r="D89" t="str">
        <x:v>Books</x:v>
      </x:c>
      <x:c r="E89" s="6" t="n">
        <x:v>1070.68</x:v>
      </x:c>
      <x:c r="F89" t="n">
        <x:v>7</x:v>
      </x:c>
      <x:c r="G89" s="7" t="n">
        <x:v>0.05</x:v>
      </x:c>
      <x:c r="H89" s="8" t="n">
        <x:v>45536</x:v>
      </x:c>
      <x:c r="I89" s="6" t="n">
        <x:v>406.86</x:v>
      </x:c>
      <x:c r="J89" s="9" t="n">
        <x:f>NOW()</x:f>
        <x:v>46274</x:v>
      </x:c>
      <x:c r="K89" t="str">
        <x:f>TEXT(H89,"mmm-yy")</x:f>
        <x:v>Sep-24</x:v>
      </x:c>
    </x:row>
    <x:row r="90" ht="15" hidden="0" customHeight="1">
      <x:c r="A90" t="str">
        <x:v>CUST015</x:v>
      </x:c>
      <x:c r="B90" t="str">
        <x:v>David Thomas</x:v>
      </x:c>
      <x:c r="C90" t="str">
        <x:v>West</x:v>
      </x:c>
      <x:c r="D90" t="str">
        <x:v>Clothing</x:v>
      </x:c>
      <x:c r="E90" s="6" t="n">
        <x:v>1168.89</x:v>
      </x:c>
      <x:c r="F90" t="n">
        <x:v>4</x:v>
      </x:c>
      <x:c r="G90" s="7" t="n">
        <x:v>0.1</x:v>
      </x:c>
      <x:c r="H90" s="8" t="n">
        <x:v>45544</x:v>
      </x:c>
      <x:c r="I90" s="6" t="n">
        <x:v>526</x:v>
      </x:c>
      <x:c r="J90" s="9" t="n">
        <x:f>NOW()</x:f>
        <x:v>46274</x:v>
      </x:c>
      <x:c r="K90" t="str">
        <x:f>TEXT(H90,"mmm-yy")</x:f>
        <x:v>Sep-24</x:v>
      </x:c>
    </x:row>
    <x:row r="91" ht="15" hidden="0" customHeight="1">
      <x:c r="A91" t="str">
        <x:v>CUST003</x:v>
      </x:c>
      <x:c r="B91" t="str">
        <x:v>James Davis</x:v>
      </x:c>
      <x:c r="C91" t="str">
        <x:v>South</x:v>
      </x:c>
      <x:c r="D91" t="str">
        <x:v>Electronics</x:v>
      </x:c>
      <x:c r="E91" s="6" t="n">
        <x:v>1335.87</x:v>
      </x:c>
      <x:c r="F91" t="n">
        <x:v>17</x:v>
      </x:c>
      <x:c r="G91" s="7" t="n">
        <x:v>0</x:v>
      </x:c>
      <x:c r="H91" s="8" t="n">
        <x:v>45544</x:v>
      </x:c>
      <x:c r="I91" s="6" t="n">
        <x:v>333.97</x:v>
      </x:c>
      <x:c r="J91" s="9" t="n">
        <x:f>NOW()</x:f>
        <x:v>46274</x:v>
      </x:c>
      <x:c r="K91" t="str">
        <x:f>TEXT(H91,"mmm-yy")</x:f>
        <x:v>Sep-24</x:v>
      </x:c>
    </x:row>
    <x:row r="92" ht="15" hidden="0" customHeight="1">
      <x:c r="A92" t="str">
        <x:v>CUST023</x:v>
      </x:c>
      <x:c r="B92" t="str">
        <x:v>David Brown</x:v>
      </x:c>
      <x:c r="C92" t="str">
        <x:v>East</x:v>
      </x:c>
      <x:c r="D92" t="str">
        <x:v>Furniture</x:v>
      </x:c>
      <x:c r="E92" s="6" t="n">
        <x:v>873.7</x:v>
      </x:c>
      <x:c r="F92" t="n">
        <x:v>9</x:v>
      </x:c>
      <x:c r="G92" s="7" t="n">
        <x:v>0</x:v>
      </x:c>
      <x:c r="H92" s="8" t="n">
        <x:v>45546</x:v>
      </x:c>
      <x:c r="I92" s="6" t="n">
        <x:v>305.8</x:v>
      </x:c>
      <x:c r="J92" s="9" t="n">
        <x:f>NOW()</x:f>
        <x:v>46274</x:v>
      </x:c>
      <x:c r="K92" t="str">
        <x:f>TEXT(H92,"mmm-yy")</x:f>
        <x:v>Sep-24</x:v>
      </x:c>
    </x:row>
    <x:row r="93" ht="15" hidden="0" customHeight="1">
      <x:c r="A93" t="str">
        <x:v>CUST004</x:v>
      </x:c>
      <x:c r="B93" t="str">
        <x:v>Sarah Davis</x:v>
      </x:c>
      <x:c r="C93" t="str">
        <x:v>West</x:v>
      </x:c>
      <x:c r="D93" t="str">
        <x:v>Office Supplies</x:v>
      </x:c>
      <x:c r="E93" s="6" t="n">
        <x:v>1443.98</x:v>
      </x:c>
      <x:c r="F93" t="n">
        <x:v>19</x:v>
      </x:c>
      <x:c r="G93" s="7" t="n">
        <x:v>0</x:v>
      </x:c>
      <x:c r="H93" s="8" t="n">
        <x:v>45547</x:v>
      </x:c>
      <x:c r="I93" s="6" t="n">
        <x:v>649.79</x:v>
      </x:c>
      <x:c r="J93" s="9" t="n">
        <x:f>NOW()</x:f>
        <x:v>46274</x:v>
      </x:c>
      <x:c r="K93" t="str">
        <x:f>TEXT(H93,"mmm-yy")</x:f>
        <x:v>Sep-24</x:v>
      </x:c>
    </x:row>
    <x:row r="94" ht="15" hidden="0" customHeight="1">
      <x:c r="A94" t="str">
        <x:v>CUST023</x:v>
      </x:c>
      <x:c r="B94" t="str">
        <x:v>James Wilson</x:v>
      </x:c>
      <x:c r="C94" t="str">
        <x:v>East</x:v>
      </x:c>
      <x:c r="D94" t="str">
        <x:v>Office Supplies</x:v>
      </x:c>
      <x:c r="E94" s="6" t="n">
        <x:v>1154.33</x:v>
      </x:c>
      <x:c r="F94" t="n">
        <x:v>11</x:v>
      </x:c>
      <x:c r="G94" s="7" t="n">
        <x:v>0.15</x:v>
      </x:c>
      <x:c r="H94" s="8" t="n">
        <x:v>45549</x:v>
      </x:c>
      <x:c r="I94" s="6" t="n">
        <x:v>441.53</x:v>
      </x:c>
      <x:c r="J94" s="9" t="n">
        <x:f>NOW()</x:f>
        <x:v>46274</x:v>
      </x:c>
      <x:c r="K94" t="str">
        <x:f>TEXT(H94,"mmm-yy")</x:f>
        <x:v>Sep-24</x:v>
      </x:c>
    </x:row>
    <x:row r="95" ht="15" hidden="0" customHeight="1">
      <x:c r="A95" t="str">
        <x:v>CUST022</x:v>
      </x:c>
      <x:c r="B95" t="str">
        <x:v>Linda Brown</x:v>
      </x:c>
      <x:c r="C95" t="str">
        <x:v>South</x:v>
      </x:c>
      <x:c r="D95" t="str">
        <x:v>Books</x:v>
      </x:c>
      <x:c r="E95" s="6" t="n">
        <x:v>1264.49</x:v>
      </x:c>
      <x:c r="F95" t="n">
        <x:v>16</x:v>
      </x:c>
      <x:c r="G95" s="7" t="n">
        <x:v>0.05</x:v>
      </x:c>
      <x:c r="H95" s="8" t="n">
        <x:v>45549</x:v>
      </x:c>
      <x:c r="I95" s="6" t="n">
        <x:v>480.51</x:v>
      </x:c>
      <x:c r="J95" s="9" t="n">
        <x:f>NOW()</x:f>
        <x:v>46274</x:v>
      </x:c>
      <x:c r="K95" t="str">
        <x:f>TEXT(H95,"mmm-yy")</x:f>
        <x:v>Sep-24</x:v>
      </x:c>
    </x:row>
    <x:row r="96" ht="15" hidden="0" customHeight="1">
      <x:c r="A96" t="str">
        <x:v>CUST007</x:v>
      </x:c>
      <x:c r="B96" t="str">
        <x:v>Emma Taylor</x:v>
      </x:c>
      <x:c r="C96" t="str">
        <x:v>West</x:v>
      </x:c>
      <x:c r="D96" t="str">
        <x:v>Furniture</x:v>
      </x:c>
      <x:c r="E96" s="6" t="n">
        <x:v>1101.55</x:v>
      </x:c>
      <x:c r="F96" t="n">
        <x:v>4</x:v>
      </x:c>
      <x:c r="G96" s="7" t="n">
        <x:v>0.1</x:v>
      </x:c>
      <x:c r="H96" s="8" t="n">
        <x:v>45551</x:v>
      </x:c>
      <x:c r="I96" s="6" t="n">
        <x:v>346.99</x:v>
      </x:c>
      <x:c r="J96" s="9" t="n">
        <x:f>NOW()</x:f>
        <x:v>46274</x:v>
      </x:c>
      <x:c r="K96" t="str">
        <x:f>TEXT(H96,"mmm-yy")</x:f>
        <x:v>Sep-24</x:v>
      </x:c>
    </x:row>
    <x:row r="97" ht="15" hidden="0" customHeight="1">
      <x:c r="A97" t="str">
        <x:v>CUST013</x:v>
      </x:c>
      <x:c r="B97" t="str">
        <x:v>Robert Anderson</x:v>
      </x:c>
      <x:c r="C97" t="str">
        <x:v>South</x:v>
      </x:c>
      <x:c r="D97" t="str">
        <x:v>Furniture</x:v>
      </x:c>
      <x:c r="E97" s="6" t="n">
        <x:v>727.73</x:v>
      </x:c>
      <x:c r="F97" t="n">
        <x:v>1</x:v>
      </x:c>
      <x:c r="G97" s="7" t="n">
        <x:v>0.1</x:v>
      </x:c>
      <x:c r="H97" s="8" t="n">
        <x:v>45552</x:v>
      </x:c>
      <x:c r="I97" s="6" t="n">
        <x:v>229.23</x:v>
      </x:c>
      <x:c r="J97" s="9" t="n">
        <x:f>NOW()</x:f>
        <x:v>46274</x:v>
      </x:c>
      <x:c r="K97" t="str">
        <x:f>TEXT(H97,"mmm-yy")</x:f>
        <x:v>Sep-24</x:v>
      </x:c>
    </x:row>
    <x:row r="98" ht="15" hidden="0" customHeight="1">
      <x:c r="A98" t="str">
        <x:v>CUST027</x:v>
      </x:c>
      <x:c r="B98" t="str">
        <x:v>Emma Davis</x:v>
      </x:c>
      <x:c r="C98" t="str">
        <x:v>East</x:v>
      </x:c>
      <x:c r="D98" t="str">
        <x:v>Office Supplies</x:v>
      </x:c>
      <x:c r="E98" s="6" t="n">
        <x:v>875.41</x:v>
      </x:c>
      <x:c r="F98" t="n">
        <x:v>13</x:v>
      </x:c>
      <x:c r="G98" s="7" t="n">
        <x:v>0.15</x:v>
      </x:c>
      <x:c r="H98" s="8" t="n">
        <x:v>45552</x:v>
      </x:c>
      <x:c r="I98" s="6" t="n">
        <x:v>334.84</x:v>
      </x:c>
      <x:c r="J98" s="9" t="n">
        <x:f>NOW()</x:f>
        <x:v>46274</x:v>
      </x:c>
      <x:c r="K98" t="str">
        <x:f>TEXT(H98,"mmm-yy")</x:f>
        <x:v>Sep-24</x:v>
      </x:c>
    </x:row>
    <x:row r="99" ht="15" hidden="0" customHeight="1">
      <x:c r="A99" t="str">
        <x:v>CUST003</x:v>
      </x:c>
      <x:c r="B99" t="str">
        <x:v>James Wilson</x:v>
      </x:c>
      <x:c r="C99" t="str">
        <x:v>West</x:v>
      </x:c>
      <x:c r="D99" t="str">
        <x:v>Electronics</x:v>
      </x:c>
      <x:c r="E99" s="6" t="n">
        <x:v>1158.94</x:v>
      </x:c>
      <x:c r="F99" t="n">
        <x:v>19</x:v>
      </x:c>
      <x:c r="G99" s="7" t="n">
        <x:v>0.2</x:v>
      </x:c>
      <x:c r="H99" s="8" t="n">
        <x:v>45553</x:v>
      </x:c>
      <x:c r="I99" s="6" t="n">
        <x:v>231.79</x:v>
      </x:c>
      <x:c r="J99" s="9" t="n">
        <x:f>NOW()</x:f>
        <x:v>46274</x:v>
      </x:c>
      <x:c r="K99" t="str">
        <x:f>TEXT(H99,"mmm-yy")</x:f>
        <x:v>Sep-24</x:v>
      </x:c>
    </x:row>
    <x:row r="100" ht="15" hidden="0" customHeight="1">
      <x:c r="A100" t="str">
        <x:v>CUST018</x:v>
      </x:c>
      <x:c r="B100" t="str">
        <x:v>Mary Jackson</x:v>
      </x:c>
      <x:c r="C100" t="str">
        <x:v>South</x:v>
      </x:c>
      <x:c r="D100" t="str">
        <x:v>Books</x:v>
      </x:c>
      <x:c r="E100" s="6" t="n">
        <x:v>966.3</x:v>
      </x:c>
      <x:c r="F100" t="n">
        <x:v>2</x:v>
      </x:c>
      <x:c r="G100" s="7" t="n">
        <x:v>0.15</x:v>
      </x:c>
      <x:c r="H100" s="8" t="n">
        <x:v>45557</x:v>
      </x:c>
      <x:c r="I100" s="6" t="n">
        <x:v>328.54</x:v>
      </x:c>
      <x:c r="J100" s="9" t="n">
        <x:f>NOW()</x:f>
        <x:v>46274</x:v>
      </x:c>
      <x:c r="K100" t="str">
        <x:f>TEXT(H100,"mmm-yy")</x:f>
        <x:v>Sep-24</x:v>
      </x:c>
    </x:row>
    <x:row r="101" ht="15" hidden="0" customHeight="1">
      <x:c r="A101" t="str">
        <x:v>CUST020</x:v>
      </x:c>
      <x:c r="B101" t="str">
        <x:v>James Taylor</x:v>
      </x:c>
      <x:c r="C101" t="str">
        <x:v>South</x:v>
      </x:c>
      <x:c r="D101" t="str">
        <x:v>Books</x:v>
      </x:c>
      <x:c r="E101" s="6" t="n">
        <x:v>917.48</x:v>
      </x:c>
      <x:c r="F101" t="n">
        <x:v>6</x:v>
      </x:c>
      <x:c r="G101" s="7" t="n">
        <x:v>0</x:v>
      </x:c>
      <x:c r="H101" s="8" t="n">
        <x:v>45558</x:v>
      </x:c>
      <x:c r="I101" s="6" t="n">
        <x:v>366.99</x:v>
      </x:c>
      <x:c r="J101" s="9" t="n">
        <x:f>NOW()</x:f>
        <x:v>46274</x:v>
      </x:c>
      <x:c r="K101" t="str">
        <x:f>TEXT(H101,"mmm-yy")</x:f>
        <x:v>Sep-24</x:v>
      </x:c>
    </x:row>
    <x:row r="102" ht="15" hidden="0" customHeight="1">
      <x:c r="A102" t="str">
        <x:v>CUST029</x:v>
      </x:c>
      <x:c r="B102" t="str">
        <x:v>Emma Wilson</x:v>
      </x:c>
      <x:c r="C102" t="str">
        <x:v>West</x:v>
      </x:c>
      <x:c r="D102" t="str">
        <x:v>Furniture</x:v>
      </x:c>
      <x:c r="E102" s="6" t="n">
        <x:v>1172.97</x:v>
      </x:c>
      <x:c r="F102" t="n">
        <x:v>7</x:v>
      </x:c>
      <x:c r="G102" s="7" t="n">
        <x:v>0.15</x:v>
      </x:c>
      <x:c r="H102" s="8" t="n">
        <x:v>45559</x:v>
      </x:c>
      <x:c r="I102" s="6" t="n">
        <x:v>348.96</x:v>
      </x:c>
      <x:c r="J102" s="9" t="n">
        <x:f>NOW()</x:f>
        <x:v>46274</x:v>
      </x:c>
      <x:c r="K102" t="str">
        <x:f>TEXT(H102,"mmm-yy")</x:f>
        <x:v>Sep-24</x:v>
      </x:c>
    </x:row>
    <x:row r="103" ht="15" hidden="0" customHeight="1">
      <x:c r="A103" t="str">
        <x:v>CUST021</x:v>
      </x:c>
      <x:c r="B103" t="str">
        <x:v>James Wilson</x:v>
      </x:c>
      <x:c r="C103" t="str">
        <x:v>North</x:v>
      </x:c>
      <x:c r="D103" t="str">
        <x:v>Clothing</x:v>
      </x:c>
      <x:c r="E103" s="6" t="n">
        <x:v>1205.82</x:v>
      </x:c>
      <x:c r="F103" t="n">
        <x:v>11</x:v>
      </x:c>
      <x:c r="G103" s="7" t="n">
        <x:v>0.1</x:v>
      </x:c>
      <x:c r="H103" s="8" t="n">
        <x:v>45559</x:v>
      </x:c>
      <x:c r="I103" s="6" t="n">
        <x:v>542.62</x:v>
      </x:c>
      <x:c r="J103" s="9" t="n">
        <x:f>NOW()</x:f>
        <x:v>46274</x:v>
      </x:c>
      <x:c r="K103" t="str">
        <x:f>TEXT(H103,"mmm-yy")</x:f>
        <x:v>Sep-24</x:v>
      </x:c>
    </x:row>
    <x:row r="104" ht="15" hidden="0" customHeight="1">
      <x:c r="A104" t="str">
        <x:v>CUST017</x:v>
      </x:c>
      <x:c r="B104" t="str">
        <x:v>Sarah Davis</x:v>
      </x:c>
      <x:c r="C104" t="str">
        <x:v>West</x:v>
      </x:c>
      <x:c r="D104" t="str">
        <x:v>Office Supplies</x:v>
      </x:c>
      <x:c r="E104" s="6" t="n">
        <x:v>826.93</x:v>
      </x:c>
      <x:c r="F104" t="n">
        <x:v>10</x:v>
      </x:c>
      <x:c r="G104" s="7" t="n">
        <x:v>0.2</x:v>
      </x:c>
      <x:c r="H104" s="8" t="n">
        <x:v>45564</x:v>
      </x:c>
      <x:c r="I104" s="6" t="n">
        <x:v>297.69</x:v>
      </x:c>
      <x:c r="J104" s="9" t="n">
        <x:f>NOW()</x:f>
        <x:v>46274</x:v>
      </x:c>
      <x:c r="K104" t="str">
        <x:f>TEXT(H104,"mmm-yy")</x:f>
        <x:v>Sep-24</x:v>
      </x:c>
    </x:row>
    <x:row r="105" ht="15" hidden="0" customHeight="1">
      <x:c r="A105" t="str">
        <x:v>CUST003</x:v>
      </x:c>
      <x:c r="B105" t="str">
        <x:v>James Wilson</x:v>
      </x:c>
      <x:c r="C105" t="str">
        <x:v>Central</x:v>
      </x:c>
      <x:c r="D105" t="str">
        <x:v>Clothing</x:v>
      </x:c>
      <x:c r="E105" s="6" t="n">
        <x:v>902.19</x:v>
      </x:c>
      <x:c r="F105" t="n">
        <x:v>12</x:v>
      </x:c>
      <x:c r="G105" s="7" t="n">
        <x:v>0</x:v>
      </x:c>
      <x:c r="H105" s="8" t="n">
        <x:v>45564</x:v>
      </x:c>
      <x:c r="I105" s="6" t="n">
        <x:v>451.1</x:v>
      </x:c>
      <x:c r="J105" s="9" t="n">
        <x:f>NOW()</x:f>
        <x:v>46274</x:v>
      </x:c>
      <x:c r="K105" t="str">
        <x:f>TEXT(H105,"mmm-yy")</x:f>
        <x:v>Sep-24</x:v>
      </x:c>
    </x:row>
    <x:row r="106" ht="15" hidden="0" customHeight="1">
      <x:c r="A106" t="str">
        <x:v>CUST027</x:v>
      </x:c>
      <x:c r="B106" t="str">
        <x:v>Emma Davis</x:v>
      </x:c>
      <x:c r="C106" t="str">
        <x:v>North</x:v>
      </x:c>
      <x:c r="D106" t="str">
        <x:v>Books</x:v>
      </x:c>
      <x:c r="E106" s="6" t="n">
        <x:v>585.97</x:v>
      </x:c>
      <x:c r="F106" t="n">
        <x:v>17</x:v>
      </x:c>
      <x:c r="G106" s="7" t="n">
        <x:v>0.1</x:v>
      </x:c>
      <x:c r="H106" s="8" t="n">
        <x:v>45565</x:v>
      </x:c>
      <x:c r="I106" s="6" t="n">
        <x:v>210.95</x:v>
      </x:c>
      <x:c r="J106" s="9" t="n">
        <x:f>NOW()</x:f>
        <x:v>46274</x:v>
      </x:c>
      <x:c r="K106" t="str">
        <x:f>TEXT(H106,"mmm-yy")</x:f>
        <x:v>Sep-24</x:v>
      </x:c>
    </x:row>
    <x:row r="107" ht="15" hidden="0" customHeight="1">
      <x:c r="A107" t="str">
        <x:v>CUST016</x:v>
      </x:c>
      <x:c r="B107" t="str">
        <x:v>Michael Anderson</x:v>
      </x:c>
      <x:c r="C107" t="str">
        <x:v>North</x:v>
      </x:c>
      <x:c r="D107" t="str">
        <x:v>Clothing</x:v>
      </x:c>
      <x:c r="E107" s="6" t="n">
        <x:v>990.19</x:v>
      </x:c>
      <x:c r="F107" t="n">
        <x:v>8</x:v>
      </x:c>
      <x:c r="G107" s="7" t="n">
        <x:v>0.1</x:v>
      </x:c>
      <x:c r="H107" s="8" t="n">
        <x:v>45565</x:v>
      </x:c>
      <x:c r="I107" s="6" t="n">
        <x:v>445.59</x:v>
      </x:c>
      <x:c r="J107" s="9" t="n">
        <x:f>NOW()</x:f>
        <x:v>46274</x:v>
      </x:c>
      <x:c r="K107" t="str">
        <x:f>TEXT(H107,"mmm-yy")</x:f>
        <x:v>Sep-24</x:v>
      </x:c>
    </x:row>
    <x:row r="108" ht="15" hidden="0" customHeight="1">
      <x:c r="A108" t="str">
        <x:v>CUST008</x:v>
      </x:c>
      <x:c r="B108" t="str">
        <x:v>David Davis</x:v>
      </x:c>
      <x:c r="C108" t="str">
        <x:v>Central</x:v>
      </x:c>
      <x:c r="D108" t="str">
        <x:v>Electronics</x:v>
      </x:c>
      <x:c r="E108" s="6" t="n">
        <x:v>1014.09</x:v>
      </x:c>
      <x:c r="F108" t="n">
        <x:v>13</x:v>
      </x:c>
      <x:c r="G108" s="7" t="n">
        <x:v>0.2</x:v>
      </x:c>
      <x:c r="H108" s="8" t="n">
        <x:v>45567</x:v>
      </x:c>
      <x:c r="I108" s="6" t="n">
        <x:v>202.82</x:v>
      </x:c>
      <x:c r="J108" s="9" t="n">
        <x:f>NOW()</x:f>
        <x:v>46274</x:v>
      </x:c>
      <x:c r="K108" t="str">
        <x:f>TEXT(H108,"mmm-yy")</x:f>
        <x:v>Oct-24</x:v>
      </x:c>
    </x:row>
    <x:row r="109" ht="15" hidden="0" customHeight="1">
      <x:c r="A109" t="str">
        <x:v>CUST012</x:v>
      </x:c>
      <x:c r="B109" t="str">
        <x:v>Lisa Davis</x:v>
      </x:c>
      <x:c r="C109" t="str">
        <x:v>North</x:v>
      </x:c>
      <x:c r="D109" t="str">
        <x:v>Electronics</x:v>
      </x:c>
      <x:c r="E109" s="6" t="n">
        <x:v>925.29</x:v>
      </x:c>
      <x:c r="F109" t="n">
        <x:v>17</x:v>
      </x:c>
      <x:c r="G109" s="7" t="n">
        <x:v>0</x:v>
      </x:c>
      <x:c r="H109" s="8" t="n">
        <x:v>45570</x:v>
      </x:c>
      <x:c r="I109" s="6" t="n">
        <x:v>231.32</x:v>
      </x:c>
      <x:c r="J109" s="9" t="n">
        <x:f>NOW()</x:f>
        <x:v>46274</x:v>
      </x:c>
      <x:c r="K109" t="str">
        <x:f>TEXT(H109,"mmm-yy")</x:f>
        <x:v>Oct-24</x:v>
      </x:c>
    </x:row>
    <x:row r="110" ht="15" hidden="0" customHeight="1">
      <x:c r="A110" t="str">
        <x:v>CUST025</x:v>
      </x:c>
      <x:c r="B110" t="str">
        <x:v>Mary Jackson</x:v>
      </x:c>
      <x:c r="C110" t="str">
        <x:v>East</x:v>
      </x:c>
      <x:c r="D110" t="str">
        <x:v>Furniture</x:v>
      </x:c>
      <x:c r="E110" s="6" t="n">
        <x:v>1286.54</x:v>
      </x:c>
      <x:c r="F110" t="n">
        <x:v>8</x:v>
      </x:c>
      <x:c r="G110" s="7" t="n">
        <x:v>0</x:v>
      </x:c>
      <x:c r="H110" s="8" t="n">
        <x:v>45575</x:v>
      </x:c>
      <x:c r="I110" s="6" t="n">
        <x:v>450.29</x:v>
      </x:c>
      <x:c r="J110" s="9" t="n">
        <x:f>NOW()</x:f>
        <x:v>46274</x:v>
      </x:c>
      <x:c r="K110" t="str">
        <x:f>TEXT(H110,"mmm-yy")</x:f>
        <x:v>Oct-24</x:v>
      </x:c>
    </x:row>
    <x:row r="111" ht="15" hidden="0" customHeight="1">
      <x:c r="A111" t="str">
        <x:v>CUST014</x:v>
      </x:c>
      <x:c r="B111" t="str">
        <x:v>Sarah Davis</x:v>
      </x:c>
      <x:c r="C111" t="str">
        <x:v>South</x:v>
      </x:c>
      <x:c r="D111" t="str">
        <x:v>Books</x:v>
      </x:c>
      <x:c r="E111" s="6" t="n">
        <x:v>961.62</x:v>
      </x:c>
      <x:c r="F111" t="n">
        <x:v>8</x:v>
      </x:c>
      <x:c r="G111" s="7" t="n">
        <x:v>0.2</x:v>
      </x:c>
      <x:c r="H111" s="8" t="n">
        <x:v>45577</x:v>
      </x:c>
      <x:c r="I111" s="6" t="n">
        <x:v>307.72</x:v>
      </x:c>
      <x:c r="J111" s="9" t="n">
        <x:f>NOW()</x:f>
        <x:v>46274</x:v>
      </x:c>
      <x:c r="K111" t="str">
        <x:f>TEXT(H111,"mmm-yy")</x:f>
        <x:v>Oct-24</x:v>
      </x:c>
    </x:row>
    <x:row r="112" ht="15" hidden="0" customHeight="1">
      <x:c r="A112" t="str">
        <x:v>CUST008</x:v>
      </x:c>
      <x:c r="B112" t="str">
        <x:v>James Wilson</x:v>
      </x:c>
      <x:c r="C112" t="str">
        <x:v>East</x:v>
      </x:c>
      <x:c r="D112" t="str">
        <x:v>Books</x:v>
      </x:c>
      <x:c r="E112" s="6" t="n">
        <x:v>1081.14</x:v>
      </x:c>
      <x:c r="F112" t="n">
        <x:v>19</x:v>
      </x:c>
      <x:c r="G112" s="7" t="n">
        <x:v>0.15</x:v>
      </x:c>
      <x:c r="H112" s="8" t="n">
        <x:v>45577</x:v>
      </x:c>
      <x:c r="I112" s="6" t="n">
        <x:v>367.59</x:v>
      </x:c>
      <x:c r="J112" s="9" t="n">
        <x:f>NOW()</x:f>
        <x:v>46274</x:v>
      </x:c>
      <x:c r="K112" t="str">
        <x:f>TEXT(H112,"mmm-yy")</x:f>
        <x:v>Oct-24</x:v>
      </x:c>
    </x:row>
    <x:row r="113" ht="15" hidden="0" customHeight="1">
      <x:c r="A113" t="str">
        <x:v>CUST015</x:v>
      </x:c>
      <x:c r="B113" t="str">
        <x:v>James Wilson</x:v>
      </x:c>
      <x:c r="C113" t="str">
        <x:v>West</x:v>
      </x:c>
      <x:c r="D113" t="str">
        <x:v>Clothing</x:v>
      </x:c>
      <x:c r="E113" s="6" t="n">
        <x:v>1923.66</x:v>
      </x:c>
      <x:c r="F113" t="n">
        <x:v>9</x:v>
      </x:c>
      <x:c r="G113" s="7" t="n">
        <x:v>0.2</x:v>
      </x:c>
      <x:c r="H113" s="8" t="n">
        <x:v>45580</x:v>
      </x:c>
      <x:c r="I113" s="6" t="n">
        <x:v>769.46</x:v>
      </x:c>
      <x:c r="J113" s="9" t="n">
        <x:f>NOW()</x:f>
        <x:v>46274</x:v>
      </x:c>
      <x:c r="K113" t="str">
        <x:f>TEXT(H113,"mmm-yy")</x:f>
        <x:v>Oct-24</x:v>
      </x:c>
    </x:row>
    <x:row r="114" ht="15" hidden="0" customHeight="1">
      <x:c r="A114" t="str">
        <x:v>CUST025</x:v>
      </x:c>
      <x:c r="B114" t="str">
        <x:v>Emma Taylor</x:v>
      </x:c>
      <x:c r="C114" t="str">
        <x:v>Central</x:v>
      </x:c>
      <x:c r="D114" t="str">
        <x:v>Clothing</x:v>
      </x:c>
      <x:c r="E114" s="6" t="n">
        <x:v>728.71</x:v>
      </x:c>
      <x:c r="F114" t="n">
        <x:v>14</x:v>
      </x:c>
      <x:c r="G114" s="7" t="n">
        <x:v>0.1</x:v>
      </x:c>
      <x:c r="H114" s="8" t="n">
        <x:v>45581</x:v>
      </x:c>
      <x:c r="I114" s="6" t="n">
        <x:v>327.92</x:v>
      </x:c>
      <x:c r="J114" s="9" t="n">
        <x:f>NOW()</x:f>
        <x:v>46274</x:v>
      </x:c>
      <x:c r="K114" t="str">
        <x:f>TEXT(H114,"mmm-yy")</x:f>
        <x:v>Oct-24</x:v>
      </x:c>
    </x:row>
    <x:row r="115" ht="15" hidden="0" customHeight="1">
      <x:c r="A115" t="str">
        <x:v>CUST019</x:v>
      </x:c>
      <x:c r="B115" t="str">
        <x:v>Linda Jackson</x:v>
      </x:c>
      <x:c r="C115" t="str">
        <x:v>Central</x:v>
      </x:c>
      <x:c r="D115" t="str">
        <x:v>Clothing</x:v>
      </x:c>
      <x:c r="E115" s="6" t="n">
        <x:v>1301.89</x:v>
      </x:c>
      <x:c r="F115" t="n">
        <x:v>7</x:v>
      </x:c>
      <x:c r="G115" s="7" t="n">
        <x:v>0.15</x:v>
      </x:c>
      <x:c r="H115" s="8" t="n">
        <x:v>45581</x:v>
      </x:c>
      <x:c r="I115" s="6" t="n">
        <x:v>553.3</x:v>
      </x:c>
      <x:c r="J115" s="9" t="n">
        <x:f>NOW()</x:f>
        <x:v>46274</x:v>
      </x:c>
      <x:c r="K115" t="str">
        <x:f>TEXT(H115,"mmm-yy")</x:f>
        <x:v>Oct-24</x:v>
      </x:c>
    </x:row>
    <x:row r="116" ht="15" hidden="0" customHeight="1">
      <x:c r="A116" t="str">
        <x:v>CUST024</x:v>
      </x:c>
      <x:c r="B116" t="str">
        <x:v>Emma Taylor</x:v>
      </x:c>
      <x:c r="C116" t="str">
        <x:v>East</x:v>
      </x:c>
      <x:c r="D116" t="str">
        <x:v>Books</x:v>
      </x:c>
      <x:c r="E116" s="6" t="n">
        <x:v>980.18</x:v>
      </x:c>
      <x:c r="F116" t="n">
        <x:v>16</x:v>
      </x:c>
      <x:c r="G116" s="7" t="n">
        <x:v>0.1</x:v>
      </x:c>
      <x:c r="H116" s="8" t="n">
        <x:v>45582</x:v>
      </x:c>
      <x:c r="I116" s="6" t="n">
        <x:v>352.86</x:v>
      </x:c>
      <x:c r="J116" s="9" t="n">
        <x:f>NOW()</x:f>
        <x:v>46274</x:v>
      </x:c>
      <x:c r="K116" t="str">
        <x:f>TEXT(H116,"mmm-yy")</x:f>
        <x:v>Oct-24</x:v>
      </x:c>
    </x:row>
    <x:row r="117" ht="15" hidden="0" customHeight="1">
      <x:c r="A117" t="str">
        <x:v>CUST027</x:v>
      </x:c>
      <x:c r="B117" t="str">
        <x:v>James Wilson</x:v>
      </x:c>
      <x:c r="C117" t="str">
        <x:v>West</x:v>
      </x:c>
      <x:c r="D117" t="str">
        <x:v>Clothing</x:v>
      </x:c>
      <x:c r="E117" s="6" t="n">
        <x:v>697.57</x:v>
      </x:c>
      <x:c r="F117" t="n">
        <x:v>17</x:v>
      </x:c>
      <x:c r="G117" s="7" t="n">
        <x:v>0.1</x:v>
      </x:c>
      <x:c r="H117" s="8" t="n">
        <x:v>45584</x:v>
      </x:c>
      <x:c r="I117" s="6" t="n">
        <x:v>313.91</x:v>
      </x:c>
      <x:c r="J117" s="9" t="n">
        <x:f>NOW()</x:f>
        <x:v>46274</x:v>
      </x:c>
      <x:c r="K117" t="str">
        <x:f>TEXT(H117,"mmm-yy")</x:f>
        <x:v>Oct-24</x:v>
      </x:c>
    </x:row>
    <x:row r="118" ht="15" hidden="0" customHeight="1">
      <x:c r="A118" t="str">
        <x:v>CUST006</x:v>
      </x:c>
      <x:c r="B118" t="str">
        <x:v>David Anderson</x:v>
      </x:c>
      <x:c r="C118" t="str">
        <x:v>West</x:v>
      </x:c>
      <x:c r="D118" t="str">
        <x:v>Furniture</x:v>
      </x:c>
      <x:c r="E118" s="6" t="n">
        <x:v>1193.61</x:v>
      </x:c>
      <x:c r="F118" t="n">
        <x:v>1</x:v>
      </x:c>
      <x:c r="G118" s="7" t="n">
        <x:v>0.15</x:v>
      </x:c>
      <x:c r="H118" s="8" t="n">
        <x:v>45584</x:v>
      </x:c>
      <x:c r="I118" s="6" t="n">
        <x:v>355.1</x:v>
      </x:c>
      <x:c r="J118" s="9" t="n">
        <x:f>NOW()</x:f>
        <x:v>46274</x:v>
      </x:c>
      <x:c r="K118" t="str">
        <x:f>TEXT(H118,"mmm-yy")</x:f>
        <x:v>Oct-24</x:v>
      </x:c>
    </x:row>
    <x:row r="119" ht="15" hidden="0" customHeight="1">
      <x:c r="A119" t="str">
        <x:v>CUST009</x:v>
      </x:c>
      <x:c r="B119" t="str">
        <x:v>Emma Davis</x:v>
      </x:c>
      <x:c r="C119" t="str">
        <x:v>South</x:v>
      </x:c>
      <x:c r="D119" t="str">
        <x:v>Electronics</x:v>
      </x:c>
      <x:c r="E119" s="6" t="n">
        <x:v>771.02</x:v>
      </x:c>
      <x:c r="F119" t="n">
        <x:v>1</x:v>
      </x:c>
      <x:c r="G119" s="7" t="n">
        <x:v>0</x:v>
      </x:c>
      <x:c r="H119" s="8" t="n">
        <x:v>45585</x:v>
      </x:c>
      <x:c r="I119" s="6" t="n">
        <x:v>192.76</x:v>
      </x:c>
      <x:c r="J119" s="9" t="n">
        <x:f>NOW()</x:f>
        <x:v>46274</x:v>
      </x:c>
      <x:c r="K119" t="str">
        <x:f>TEXT(H119,"mmm-yy")</x:f>
        <x:v>Oct-24</x:v>
      </x:c>
    </x:row>
    <x:row r="120" ht="15" hidden="0" customHeight="1">
      <x:c r="A120" t="str">
        <x:v>CUST003</x:v>
      </x:c>
      <x:c r="B120" t="str">
        <x:v>Linda Moore</x:v>
      </x:c>
      <x:c r="C120" t="str">
        <x:v>North</x:v>
      </x:c>
      <x:c r="D120" t="str">
        <x:v>Clothing</x:v>
      </x:c>
      <x:c r="E120" s="6" t="n">
        <x:v>661.09</x:v>
      </x:c>
      <x:c r="F120" t="n">
        <x:v>1</x:v>
      </x:c>
      <x:c r="G120" s="7" t="n">
        <x:v>0.2</x:v>
      </x:c>
      <x:c r="H120" s="8" t="n">
        <x:v>45593</x:v>
      </x:c>
      <x:c r="I120" s="6" t="n">
        <x:v>264.44</x:v>
      </x:c>
      <x:c r="J120" s="9" t="n">
        <x:f>NOW()</x:f>
        <x:v>46274</x:v>
      </x:c>
      <x:c r="K120" t="str">
        <x:f>TEXT(H120,"mmm-yy")</x:f>
        <x:v>Oct-24</x:v>
      </x:c>
    </x:row>
    <x:row r="121" ht="15" hidden="0" customHeight="1">
      <x:c r="A121" t="str">
        <x:v>CUST012</x:v>
      </x:c>
      <x:c r="B121" t="str">
        <x:v>David Brown</x:v>
      </x:c>
      <x:c r="C121" t="str">
        <x:v>West</x:v>
      </x:c>
      <x:c r="D121" t="str">
        <x:v>Electronics</x:v>
      </x:c>
      <x:c r="E121" s="6" t="n">
        <x:v>688.83</x:v>
      </x:c>
      <x:c r="F121" t="n">
        <x:v>15</x:v>
      </x:c>
      <x:c r="G121" s="7" t="n">
        <x:v>0</x:v>
      </x:c>
      <x:c r="H121" s="8" t="n">
        <x:v>45595</x:v>
      </x:c>
      <x:c r="I121" s="6" t="n">
        <x:v>172.21</x:v>
      </x:c>
      <x:c r="J121" s="9" t="n">
        <x:f>NOW()</x:f>
        <x:v>46274</x:v>
      </x:c>
      <x:c r="K121" t="str">
        <x:f>TEXT(H121,"mmm-yy")</x:f>
        <x:v>Oct-24</x:v>
      </x:c>
    </x:row>
    <x:row r="122" ht="15" hidden="0" customHeight="1">
      <x:c r="A122" t="str">
        <x:v>CUST013</x:v>
      </x:c>
      <x:c r="B122" t="str">
        <x:v>Linda Wilson</x:v>
      </x:c>
      <x:c r="C122" t="str">
        <x:v>Central</x:v>
      </x:c>
      <x:c r="D122" t="str">
        <x:v>Books</x:v>
      </x:c>
      <x:c r="E122" s="6" t="n">
        <x:v>1249.1</x:v>
      </x:c>
      <x:c r="F122" t="n">
        <x:v>4</x:v>
      </x:c>
      <x:c r="G122" s="7" t="n">
        <x:v>0.05</x:v>
      </x:c>
      <x:c r="H122" s="8" t="n">
        <x:v>45597</x:v>
      </x:c>
      <x:c r="I122" s="6" t="n">
        <x:v>474.66</x:v>
      </x:c>
      <x:c r="J122" s="9" t="n">
        <x:f>NOW()</x:f>
        <x:v>46274</x:v>
      </x:c>
      <x:c r="K122" t="str">
        <x:f>TEXT(H122,"mmm-yy")</x:f>
        <x:v>Nov-24</x:v>
      </x:c>
    </x:row>
    <x:row r="123" ht="15" hidden="0" customHeight="1">
      <x:c r="A123" t="str">
        <x:v>CUST008</x:v>
      </x:c>
      <x:c r="B123" t="str">
        <x:v>James Wilson</x:v>
      </x:c>
      <x:c r="C123" t="str">
        <x:v>East</x:v>
      </x:c>
      <x:c r="D123" t="str">
        <x:v>Office Supplies</x:v>
      </x:c>
      <x:c r="E123" s="6" t="n">
        <x:v>1014.22</x:v>
      </x:c>
      <x:c r="F123" t="n">
        <x:v>14</x:v>
      </x:c>
      <x:c r="G123" s="7" t="n">
        <x:v>0.05</x:v>
      </x:c>
      <x:c r="H123" s="8" t="n">
        <x:v>45599</x:v>
      </x:c>
      <x:c r="I123" s="6" t="n">
        <x:v>433.58</x:v>
      </x:c>
      <x:c r="J123" s="9" t="n">
        <x:f>NOW()</x:f>
        <x:v>46274</x:v>
      </x:c>
      <x:c r="K123" t="str">
        <x:f>TEXT(H123,"mmm-yy")</x:f>
        <x:v>Nov-24</x:v>
      </x:c>
    </x:row>
    <x:row r="124" ht="15" hidden="0" customHeight="1">
      <x:c r="A124" t="str">
        <x:v>CUST025</x:v>
      </x:c>
      <x:c r="B124" t="str">
        <x:v>Lisa Davis</x:v>
      </x:c>
      <x:c r="C124" t="str">
        <x:v>East</x:v>
      </x:c>
      <x:c r="D124" t="str">
        <x:v>Books</x:v>
      </x:c>
      <x:c r="E124" s="6" t="n">
        <x:v>1010.58</x:v>
      </x:c>
      <x:c r="F124" t="n">
        <x:v>2</x:v>
      </x:c>
      <x:c r="G124" s="7" t="n">
        <x:v>0.15</x:v>
      </x:c>
      <x:c r="H124" s="8" t="n">
        <x:v>45605</x:v>
      </x:c>
      <x:c r="I124" s="6" t="n">
        <x:v>343.6</x:v>
      </x:c>
      <x:c r="J124" s="9" t="n">
        <x:f>NOW()</x:f>
        <x:v>46274</x:v>
      </x:c>
      <x:c r="K124" t="str">
        <x:f>TEXT(H124,"mmm-yy")</x:f>
        <x:v>Nov-24</x:v>
      </x:c>
    </x:row>
    <x:row r="125" ht="15" hidden="0" customHeight="1">
      <x:c r="A125" t="str">
        <x:v>CUST026</x:v>
      </x:c>
      <x:c r="B125" t="str">
        <x:v>Mary Wilson</x:v>
      </x:c>
      <x:c r="C125" t="str">
        <x:v>North</x:v>
      </x:c>
      <x:c r="D125" t="str">
        <x:v>Furniture</x:v>
      </x:c>
      <x:c r="E125" s="6" t="n">
        <x:v>957.29</x:v>
      </x:c>
      <x:c r="F125" t="n">
        <x:v>4</x:v>
      </x:c>
      <x:c r="G125" s="7" t="n">
        <x:v>0.05</x:v>
      </x:c>
      <x:c r="H125" s="8" t="n">
        <x:v>45605</x:v>
      </x:c>
      <x:c r="I125" s="6" t="n">
        <x:v>318.3</x:v>
      </x:c>
      <x:c r="J125" s="9" t="n">
        <x:f>NOW()</x:f>
        <x:v>46274</x:v>
      </x:c>
      <x:c r="K125" t="str">
        <x:f>TEXT(H125,"mmm-yy")</x:f>
        <x:v>Nov-24</x:v>
      </x:c>
    </x:row>
    <x:row r="126" ht="15" hidden="0" customHeight="1">
      <x:c r="A126" t="str">
        <x:v>CUST001</x:v>
      </x:c>
      <x:c r="B126" t="str">
        <x:v>Lisa Thomas</x:v>
      </x:c>
      <x:c r="C126" t="str">
        <x:v>North</x:v>
      </x:c>
      <x:c r="D126" t="str">
        <x:v>Furniture</x:v>
      </x:c>
      <x:c r="E126" s="6" t="n">
        <x:v>1077.92</x:v>
      </x:c>
      <x:c r="F126" t="n">
        <x:v>3</x:v>
      </x:c>
      <x:c r="G126" s="7" t="n">
        <x:v>0.05</x:v>
      </x:c>
      <x:c r="H126" s="8" t="n">
        <x:v>45608</x:v>
      </x:c>
      <x:c r="I126" s="6" t="n">
        <x:v>358.41</x:v>
      </x:c>
      <x:c r="J126" s="9" t="n">
        <x:f>NOW()</x:f>
        <x:v>46274</x:v>
      </x:c>
      <x:c r="K126" t="str">
        <x:f>TEXT(H126,"mmm-yy")</x:f>
        <x:v>Nov-24</x:v>
      </x:c>
    </x:row>
    <x:row r="127" ht="15" hidden="0" customHeight="1">
      <x:c r="A127" t="str">
        <x:v>CUST028</x:v>
      </x:c>
      <x:c r="B127" t="str">
        <x:v>Linda Brown</x:v>
      </x:c>
      <x:c r="C127" t="str">
        <x:v>South</x:v>
      </x:c>
      <x:c r="D127" t="str">
        <x:v>Clothing</x:v>
      </x:c>
      <x:c r="E127" s="6" t="n">
        <x:v>1163.01</x:v>
      </x:c>
      <x:c r="F127" t="n">
        <x:v>5</x:v>
      </x:c>
      <x:c r="G127" s="7" t="n">
        <x:v>0</x:v>
      </x:c>
      <x:c r="H127" s="8" t="n">
        <x:v>45611</x:v>
      </x:c>
      <x:c r="I127" s="6" t="n">
        <x:v>581.5</x:v>
      </x:c>
      <x:c r="J127" s="9" t="n">
        <x:f>NOW()</x:f>
        <x:v>46274</x:v>
      </x:c>
      <x:c r="K127" t="str">
        <x:f>TEXT(H127,"mmm-yy")</x:f>
        <x:v>Nov-24</x:v>
      </x:c>
    </x:row>
    <x:row r="128" ht="15" hidden="0" customHeight="1">
      <x:c r="A128" t="str">
        <x:v>CUST025</x:v>
      </x:c>
      <x:c r="B128" t="str">
        <x:v>Lisa Thomas</x:v>
      </x:c>
      <x:c r="C128" t="str">
        <x:v>East</x:v>
      </x:c>
      <x:c r="D128" t="str">
        <x:v>Office Supplies</x:v>
      </x:c>
      <x:c r="E128" s="6" t="n">
        <x:v>1014.56</x:v>
      </x:c>
      <x:c r="F128" t="n">
        <x:v>10</x:v>
      </x:c>
      <x:c r="G128" s="7" t="n">
        <x:v>0.1</x:v>
      </x:c>
      <x:c r="H128" s="8" t="n">
        <x:v>45612</x:v>
      </x:c>
      <x:c r="I128" s="6" t="n">
        <x:v>410.9</x:v>
      </x:c>
      <x:c r="J128" s="9" t="n">
        <x:f>NOW()</x:f>
        <x:v>46274</x:v>
      </x:c>
      <x:c r="K128" t="str">
        <x:f>TEXT(H128,"mmm-yy")</x:f>
        <x:v>Nov-24</x:v>
      </x:c>
    </x:row>
    <x:row r="129" ht="15" hidden="0" customHeight="1">
      <x:c r="A129" t="str">
        <x:v>CUST019</x:v>
      </x:c>
      <x:c r="B129" t="str">
        <x:v>James Taylor</x:v>
      </x:c>
      <x:c r="C129" t="str">
        <x:v>South</x:v>
      </x:c>
      <x:c r="D129" t="str">
        <x:v>Electronics</x:v>
      </x:c>
      <x:c r="E129" s="6" t="n">
        <x:v>718.04</x:v>
      </x:c>
      <x:c r="F129" t="n">
        <x:v>14</x:v>
      </x:c>
      <x:c r="G129" s="7" t="n">
        <x:v>0</x:v>
      </x:c>
      <x:c r="H129" s="8" t="n">
        <x:v>45613</x:v>
      </x:c>
      <x:c r="I129" s="6" t="n">
        <x:v>179.51</x:v>
      </x:c>
      <x:c r="J129" s="9" t="n">
        <x:f>NOW()</x:f>
        <x:v>46274</x:v>
      </x:c>
      <x:c r="K129" t="str">
        <x:f>TEXT(H129,"mmm-yy")</x:f>
        <x:v>Nov-24</x:v>
      </x:c>
    </x:row>
    <x:row r="130" ht="15" hidden="0" customHeight="1">
      <x:c r="A130" t="str">
        <x:v>CUST004</x:v>
      </x:c>
      <x:c r="B130" t="str">
        <x:v>James Taylor</x:v>
      </x:c>
      <x:c r="C130" t="str">
        <x:v>Central</x:v>
      </x:c>
      <x:c r="D130" t="str">
        <x:v>Clothing</x:v>
      </x:c>
      <x:c r="E130" s="6" t="n">
        <x:v>1277.85</x:v>
      </x:c>
      <x:c r="F130" t="n">
        <x:v>18</x:v>
      </x:c>
      <x:c r="G130" s="7" t="n">
        <x:v>0.2</x:v>
      </x:c>
      <x:c r="H130" s="8" t="n">
        <x:v>45613</x:v>
      </x:c>
      <x:c r="I130" s="6" t="n">
        <x:v>511.14</x:v>
      </x:c>
      <x:c r="J130" s="9" t="n">
        <x:f>NOW()</x:f>
        <x:v>46274</x:v>
      </x:c>
      <x:c r="K130" t="str">
        <x:f>TEXT(H130,"mmm-yy")</x:f>
        <x:v>Nov-24</x:v>
      </x:c>
    </x:row>
    <x:row r="131" ht="15" hidden="0" customHeight="1">
      <x:c r="A131" t="str">
        <x:v>CUST024</x:v>
      </x:c>
      <x:c r="B131" t="str">
        <x:v>James Wilson</x:v>
      </x:c>
      <x:c r="C131" t="str">
        <x:v>North</x:v>
      </x:c>
      <x:c r="D131" t="str">
        <x:v>Electronics</x:v>
      </x:c>
      <x:c r="E131" s="6" t="n">
        <x:v>706.73</x:v>
      </x:c>
      <x:c r="F131" t="n">
        <x:v>1</x:v>
      </x:c>
      <x:c r="G131" s="7" t="n">
        <x:v>0.15</x:v>
      </x:c>
      <x:c r="H131" s="8" t="n">
        <x:v>45613</x:v>
      </x:c>
      <x:c r="I131" s="6" t="n">
        <x:v>150.18</x:v>
      </x:c>
      <x:c r="J131" s="9" t="n">
        <x:f>NOW()</x:f>
        <x:v>46274</x:v>
      </x:c>
      <x:c r="K131" t="str">
        <x:f>TEXT(H131,"mmm-yy")</x:f>
        <x:v>Nov-24</x:v>
      </x:c>
    </x:row>
    <x:row r="132" ht="15" hidden="0" customHeight="1">
      <x:c r="A132" t="str">
        <x:v>CUST002</x:v>
      </x:c>
      <x:c r="B132" t="str">
        <x:v>Linda Brown</x:v>
      </x:c>
      <x:c r="C132" t="str">
        <x:v>East</x:v>
      </x:c>
      <x:c r="D132" t="str">
        <x:v>Electronics</x:v>
      </x:c>
      <x:c r="E132" s="6" t="n">
        <x:v>1410.59</x:v>
      </x:c>
      <x:c r="F132" t="n">
        <x:v>15</x:v>
      </x:c>
      <x:c r="G132" s="7" t="n">
        <x:v>0</x:v>
      </x:c>
      <x:c r="H132" s="8" t="n">
        <x:v>45615</x:v>
      </x:c>
      <x:c r="I132" s="6" t="n">
        <x:v>352.65</x:v>
      </x:c>
      <x:c r="J132" s="9" t="n">
        <x:f>NOW()</x:f>
        <x:v>46274</x:v>
      </x:c>
      <x:c r="K132" t="str">
        <x:f>TEXT(H132,"mmm-yy")</x:f>
        <x:v>Nov-24</x:v>
      </x:c>
    </x:row>
    <x:row r="133" ht="15" hidden="0" customHeight="1">
      <x:c r="A133" t="str">
        <x:v>CUST009</x:v>
      </x:c>
      <x:c r="B133" t="str">
        <x:v>Emma Wilson</x:v>
      </x:c>
      <x:c r="C133" t="str">
        <x:v>South</x:v>
      </x:c>
      <x:c r="D133" t="str">
        <x:v>Furniture</x:v>
      </x:c>
      <x:c r="E133" s="6" t="n">
        <x:v>1350.33</x:v>
      </x:c>
      <x:c r="F133" t="n">
        <x:v>10</x:v>
      </x:c>
      <x:c r="G133" s="7" t="n">
        <x:v>0</x:v>
      </x:c>
      <x:c r="H133" s="8" t="n">
        <x:v>45615</x:v>
      </x:c>
      <x:c r="I133" s="6" t="n">
        <x:v>472.62</x:v>
      </x:c>
      <x:c r="J133" s="9" t="n">
        <x:f>NOW()</x:f>
        <x:v>46274</x:v>
      </x:c>
      <x:c r="K133" t="str">
        <x:f>TEXT(H133,"mmm-yy")</x:f>
        <x:v>Nov-24</x:v>
      </x:c>
    </x:row>
    <x:row r="134" ht="15" hidden="0" customHeight="1">
      <x:c r="A134" t="str">
        <x:v>CUST029</x:v>
      </x:c>
      <x:c r="B134" t="str">
        <x:v>Lisa Thomas</x:v>
      </x:c>
      <x:c r="C134" t="str">
        <x:v>East</x:v>
      </x:c>
      <x:c r="D134" t="str">
        <x:v>Electronics</x:v>
      </x:c>
      <x:c r="E134" s="6" t="n">
        <x:v>919.18</x:v>
      </x:c>
      <x:c r="F134" t="n">
        <x:v>4</x:v>
      </x:c>
      <x:c r="G134" s="7" t="n">
        <x:v>0.15</x:v>
      </x:c>
      <x:c r="H134" s="8" t="n">
        <x:v>45615</x:v>
      </x:c>
      <x:c r="I134" s="6" t="n">
        <x:v>195.33</x:v>
      </x:c>
      <x:c r="J134" s="9" t="n">
        <x:f>NOW()</x:f>
        <x:v>46274</x:v>
      </x:c>
      <x:c r="K134" t="str">
        <x:f>TEXT(H134,"mmm-yy")</x:f>
        <x:v>Nov-24</x:v>
      </x:c>
    </x:row>
    <x:row r="135" ht="15" hidden="0" customHeight="1">
      <x:c r="A135" t="str">
        <x:v>CUST027</x:v>
      </x:c>
      <x:c r="B135" t="str">
        <x:v>James Wilson</x:v>
      </x:c>
      <x:c r="C135" t="str">
        <x:v>West</x:v>
      </x:c>
      <x:c r="D135" t="str">
        <x:v>Electronics</x:v>
      </x:c>
      <x:c r="E135" s="6" t="n">
        <x:v>258.51</x:v>
      </x:c>
      <x:c r="F135" t="n">
        <x:v>19</x:v>
      </x:c>
      <x:c r="G135" s="7" t="n">
        <x:v>0</x:v>
      </x:c>
      <x:c r="H135" s="8" t="n">
        <x:v>45616</x:v>
      </x:c>
      <x:c r="I135" s="6" t="n">
        <x:v>64.63</x:v>
      </x:c>
      <x:c r="J135" s="9" t="n">
        <x:f>NOW()</x:f>
        <x:v>46274</x:v>
      </x:c>
      <x:c r="K135" t="str">
        <x:f>TEXT(H135,"mmm-yy")</x:f>
        <x:v>Nov-24</x:v>
      </x:c>
    </x:row>
    <x:row r="136" ht="15" hidden="0" customHeight="1">
      <x:c r="A136" t="str">
        <x:v>CUST011</x:v>
      </x:c>
      <x:c r="B136" t="str">
        <x:v>Emma Wilson</x:v>
      </x:c>
      <x:c r="C136" t="str">
        <x:v>East</x:v>
      </x:c>
      <x:c r="D136" t="str">
        <x:v>Books</x:v>
      </x:c>
      <x:c r="E136" s="6" t="n">
        <x:v>1213.48</x:v>
      </x:c>
      <x:c r="F136" t="n">
        <x:v>5</x:v>
      </x:c>
      <x:c r="G136" s="7" t="n">
        <x:v>0.05</x:v>
      </x:c>
      <x:c r="H136" s="8" t="n">
        <x:v>45616</x:v>
      </x:c>
      <x:c r="I136" s="6" t="n">
        <x:v>461.12</x:v>
      </x:c>
      <x:c r="J136" s="9" t="n">
        <x:f>NOW()</x:f>
        <x:v>46274</x:v>
      </x:c>
      <x:c r="K136" t="str">
        <x:f>TEXT(H136,"mmm-yy")</x:f>
        <x:v>Nov-24</x:v>
      </x:c>
    </x:row>
    <x:row r="137" ht="15" hidden="0" customHeight="1">
      <x:c r="A137" t="str">
        <x:v>CUST021</x:v>
      </x:c>
      <x:c r="B137" t="str">
        <x:v>Emma Davis</x:v>
      </x:c>
      <x:c r="C137" t="str">
        <x:v>Central</x:v>
      </x:c>
      <x:c r="D137" t="str">
        <x:v>Books</x:v>
      </x:c>
      <x:c r="E137" s="6" t="n">
        <x:v>1150.28</x:v>
      </x:c>
      <x:c r="F137" t="n">
        <x:v>8</x:v>
      </x:c>
      <x:c r="G137" s="7" t="n">
        <x:v>0.05</x:v>
      </x:c>
      <x:c r="H137" s="8" t="n">
        <x:v>45622</x:v>
      </x:c>
      <x:c r="I137" s="6" t="n">
        <x:v>437.11</x:v>
      </x:c>
      <x:c r="J137" s="9" t="n">
        <x:f>NOW()</x:f>
        <x:v>46274</x:v>
      </x:c>
      <x:c r="K137" t="str">
        <x:f>TEXT(H137,"mmm-yy")</x:f>
        <x:v>Nov-24</x:v>
      </x:c>
    </x:row>
    <x:row r="138" ht="15" hidden="0" customHeight="1">
      <x:c r="A138" t="str">
        <x:v>CUST014</x:v>
      </x:c>
      <x:c r="B138" t="str">
        <x:v>David Anderson</x:v>
      </x:c>
      <x:c r="C138" t="str">
        <x:v>South</x:v>
      </x:c>
      <x:c r="D138" t="str">
        <x:v>Furniture</x:v>
      </x:c>
      <x:c r="E138" s="6" t="n">
        <x:v>853.86</x:v>
      </x:c>
      <x:c r="F138" t="n">
        <x:v>8</x:v>
      </x:c>
      <x:c r="G138" s="7" t="n">
        <x:v>0.1</x:v>
      </x:c>
      <x:c r="H138" s="8" t="n">
        <x:v>45622</x:v>
      </x:c>
      <x:c r="I138" s="6" t="n">
        <x:v>268.97</x:v>
      </x:c>
      <x:c r="J138" s="9" t="n">
        <x:f>NOW()</x:f>
        <x:v>46274</x:v>
      </x:c>
      <x:c r="K138" t="str">
        <x:f>TEXT(H138,"mmm-yy")</x:f>
        <x:v>Nov-24</x:v>
      </x:c>
    </x:row>
    <x:row r="139" ht="15" hidden="0" customHeight="1">
      <x:c r="A139" t="str">
        <x:v>CUST018</x:v>
      </x:c>
      <x:c r="B139" t="str">
        <x:v>Lisa Thomas</x:v>
      </x:c>
      <x:c r="C139" t="str">
        <x:v>South</x:v>
      </x:c>
      <x:c r="D139" t="str">
        <x:v>Electronics</x:v>
      </x:c>
      <x:c r="E139" s="6" t="n">
        <x:v>1061.04</x:v>
      </x:c>
      <x:c r="F139" t="n">
        <x:v>1</x:v>
      </x:c>
      <x:c r="G139" s="7" t="n">
        <x:v>0</x:v>
      </x:c>
      <x:c r="H139" s="8" t="n">
        <x:v>45624</x:v>
      </x:c>
      <x:c r="I139" s="6" t="n">
        <x:v>265.26</x:v>
      </x:c>
      <x:c r="J139" s="9" t="n">
        <x:f>NOW()</x:f>
        <x:v>46274</x:v>
      </x:c>
      <x:c r="K139" t="str">
        <x:f>TEXT(H139,"mmm-yy")</x:f>
        <x:v>Nov-24</x:v>
      </x:c>
    </x:row>
    <x:row r="140" ht="15" hidden="0" customHeight="1">
      <x:c r="A140" t="str">
        <x:v>CUST001</x:v>
      </x:c>
      <x:c r="B140" t="str">
        <x:v>Sarah Anderson</x:v>
      </x:c>
      <x:c r="C140" t="str">
        <x:v>West</x:v>
      </x:c>
      <x:c r="D140" t="str">
        <x:v>Electronics</x:v>
      </x:c>
      <x:c r="E140" s="6" t="n">
        <x:v>894.55</x:v>
      </x:c>
      <x:c r="F140" t="n">
        <x:v>19</x:v>
      </x:c>
      <x:c r="G140" s="7" t="n">
        <x:v>0.2</x:v>
      </x:c>
      <x:c r="H140" s="8" t="n">
        <x:v>45625</x:v>
      </x:c>
      <x:c r="I140" s="6" t="n">
        <x:v>178.91</x:v>
      </x:c>
      <x:c r="J140" s="9" t="n">
        <x:f>NOW()</x:f>
        <x:v>46274</x:v>
      </x:c>
      <x:c r="K140" t="str">
        <x:f>TEXT(H140,"mmm-yy")</x:f>
        <x:v>Nov-24</x:v>
      </x:c>
    </x:row>
    <x:row r="141" ht="15" hidden="0" customHeight="1">
      <x:c r="A141" t="str">
        <x:v>CUST007</x:v>
      </x:c>
      <x:c r="B141" t="str">
        <x:v>Emma Davis</x:v>
      </x:c>
      <x:c r="C141" t="str">
        <x:v>North</x:v>
      </x:c>
      <x:c r="D141" t="str">
        <x:v>Office Supplies</x:v>
      </x:c>
      <x:c r="E141" s="6" t="n">
        <x:v>833.91</x:v>
      </x:c>
      <x:c r="F141" t="n">
        <x:v>3</x:v>
      </x:c>
      <x:c r="G141" s="7" t="n">
        <x:v>0.05</x:v>
      </x:c>
      <x:c r="H141" s="8" t="n">
        <x:v>45626</x:v>
      </x:c>
      <x:c r="I141" s="6" t="n">
        <x:v>356.5</x:v>
      </x:c>
      <x:c r="J141" s="9" t="n">
        <x:f>NOW()</x:f>
        <x:v>46274</x:v>
      </x:c>
      <x:c r="K141" t="str">
        <x:f>TEXT(H141,"mmm-yy")</x:f>
        <x:v>Nov-24</x:v>
      </x:c>
    </x:row>
    <x:row r="142" ht="15" hidden="0" customHeight="1">
      <x:c r="A142" t="str">
        <x:v>CUST015</x:v>
      </x:c>
      <x:c r="B142" t="str">
        <x:v>David Anderson</x:v>
      </x:c>
      <x:c r="C142" t="str">
        <x:v>West</x:v>
      </x:c>
      <x:c r="D142" t="str">
        <x:v>Furniture</x:v>
      </x:c>
      <x:c r="E142" s="6" t="n">
        <x:v>820.19</x:v>
      </x:c>
      <x:c r="F142" t="n">
        <x:v>4</x:v>
      </x:c>
      <x:c r="G142" s="7" t="n">
        <x:v>0.2</x:v>
      </x:c>
      <x:c r="H142" s="8" t="n">
        <x:v>45630</x:v>
      </x:c>
      <x:c r="I142" s="6" t="n">
        <x:v>229.65</x:v>
      </x:c>
      <x:c r="J142" s="9" t="n">
        <x:f>NOW()</x:f>
        <x:v>46274</x:v>
      </x:c>
      <x:c r="K142" t="str">
        <x:f>TEXT(H142,"mmm-yy")</x:f>
        <x:v>Dec-24</x:v>
      </x:c>
    </x:row>
    <x:row r="143" ht="15" hidden="0" customHeight="1">
      <x:c r="A143" t="str">
        <x:v>CUST015</x:v>
      </x:c>
      <x:c r="B143" t="str">
        <x:v>Emma Davis</x:v>
      </x:c>
      <x:c r="C143" t="str">
        <x:v>Central</x:v>
      </x:c>
      <x:c r="D143" t="str">
        <x:v>Electronics</x:v>
      </x:c>
      <x:c r="E143" s="6" t="n">
        <x:v>511.74</x:v>
      </x:c>
      <x:c r="F143" t="n">
        <x:v>8</x:v>
      </x:c>
      <x:c r="G143" s="7" t="n">
        <x:v>0.05</x:v>
      </x:c>
      <x:c r="H143" s="8" t="n">
        <x:v>45631</x:v>
      </x:c>
      <x:c r="I143" s="6" t="n">
        <x:v>121.54</x:v>
      </x:c>
      <x:c r="J143" s="9" t="n">
        <x:f>NOW()</x:f>
        <x:v>46274</x:v>
      </x:c>
      <x:c r="K143" t="str">
        <x:f>TEXT(H143,"mmm-yy")</x:f>
        <x:v>Dec-24</x:v>
      </x:c>
    </x:row>
    <x:row r="144" ht="15" hidden="0" customHeight="1">
      <x:c r="A144" t="str">
        <x:v>CUST002</x:v>
      </x:c>
      <x:c r="B144" t="str">
        <x:v>Emma Wilson</x:v>
      </x:c>
      <x:c r="C144" t="str">
        <x:v>South</x:v>
      </x:c>
      <x:c r="D144" t="str">
        <x:v>Furniture</x:v>
      </x:c>
      <x:c r="E144" s="6" t="n">
        <x:v>806.03</x:v>
      </x:c>
      <x:c r="F144" t="n">
        <x:v>19</x:v>
      </x:c>
      <x:c r="G144" s="7" t="n">
        <x:v>0.05</x:v>
      </x:c>
      <x:c r="H144" s="8" t="n">
        <x:v>45638</x:v>
      </x:c>
      <x:c r="I144" s="6" t="n">
        <x:v>268</x:v>
      </x:c>
      <x:c r="J144" s="9" t="n">
        <x:f>NOW()</x:f>
        <x:v>46274</x:v>
      </x:c>
      <x:c r="K144" t="str">
        <x:f>TEXT(H144,"mmm-yy")</x:f>
        <x:v>Dec-24</x:v>
      </x:c>
    </x:row>
    <x:row r="145" ht="15" hidden="0" customHeight="1">
      <x:c r="A145" t="str">
        <x:v>CUST001</x:v>
      </x:c>
      <x:c r="B145" t="str">
        <x:v>Michael Anderson</x:v>
      </x:c>
      <x:c r="C145" t="str">
        <x:v>Central</x:v>
      </x:c>
      <x:c r="D145" t="str">
        <x:v>Furniture</x:v>
      </x:c>
      <x:c r="E145" s="6" t="n">
        <x:v>1432.47</x:v>
      </x:c>
      <x:c r="F145" t="n">
        <x:v>16</x:v>
      </x:c>
      <x:c r="G145" s="7" t="n">
        <x:v>0.15</x:v>
      </x:c>
      <x:c r="H145" s="8" t="n">
        <x:v>45640</x:v>
      </x:c>
      <x:c r="I145" s="6" t="n">
        <x:v>426.16</x:v>
      </x:c>
      <x:c r="J145" s="9" t="n">
        <x:f>NOW()</x:f>
        <x:v>46274</x:v>
      </x:c>
      <x:c r="K145" t="str">
        <x:f>TEXT(H145,"mmm-yy")</x:f>
        <x:v>Dec-24</x:v>
      </x:c>
    </x:row>
    <x:row r="146" ht="15" hidden="0" customHeight="1">
      <x:c r="A146" t="str">
        <x:v>CUST027</x:v>
      </x:c>
      <x:c r="B146" t="str">
        <x:v>Linda Wilson</x:v>
      </x:c>
      <x:c r="C146" t="str">
        <x:v>Central</x:v>
      </x:c>
      <x:c r="D146" t="str">
        <x:v>Electronics</x:v>
      </x:c>
      <x:c r="E146" s="6" t="n">
        <x:v>1488.58</x:v>
      </x:c>
      <x:c r="F146" t="n">
        <x:v>10</x:v>
      </x:c>
      <x:c r="G146" s="7" t="n">
        <x:v>0.15</x:v>
      </x:c>
      <x:c r="H146" s="8" t="n">
        <x:v>45640</x:v>
      </x:c>
      <x:c r="I146" s="6" t="n">
        <x:v>316.32</x:v>
      </x:c>
      <x:c r="J146" s="9" t="n">
        <x:f>NOW()</x:f>
        <x:v>46274</x:v>
      </x:c>
      <x:c r="K146" t="str">
        <x:f>TEXT(H146,"mmm-yy")</x:f>
        <x:v>Dec-24</x:v>
      </x:c>
    </x:row>
    <x:row r="147" ht="15" hidden="0" customHeight="1">
      <x:c r="A147" t="str">
        <x:v>CUST026</x:v>
      </x:c>
      <x:c r="B147" t="str">
        <x:v>Emma Taylor</x:v>
      </x:c>
      <x:c r="C147" t="str">
        <x:v>East</x:v>
      </x:c>
      <x:c r="D147" t="str">
        <x:v>Books</x:v>
      </x:c>
      <x:c r="E147" s="6" t="n">
        <x:v>1231.26</x:v>
      </x:c>
      <x:c r="F147" t="n">
        <x:v>9</x:v>
      </x:c>
      <x:c r="G147" s="7" t="n">
        <x:v>0</x:v>
      </x:c>
      <x:c r="H147" s="8" t="n">
        <x:v>45646</x:v>
      </x:c>
      <x:c r="I147" s="6" t="n">
        <x:v>492.5</x:v>
      </x:c>
      <x:c r="J147" s="9" t="n">
        <x:f>NOW()</x:f>
        <x:v>46274</x:v>
      </x:c>
      <x:c r="K147" t="str">
        <x:f>TEXT(H147,"mmm-yy")</x:f>
        <x:v>Dec-24</x:v>
      </x:c>
    </x:row>
    <x:row r="148" ht="15" hidden="0" customHeight="1">
      <x:c r="A148" t="str">
        <x:v>CUST026</x:v>
      </x:c>
      <x:c r="B148" t="str">
        <x:v>Sarah Anderson</x:v>
      </x:c>
      <x:c r="C148" t="str">
        <x:v>West</x:v>
      </x:c>
      <x:c r="D148" t="str">
        <x:v>Electronics</x:v>
      </x:c>
      <x:c r="E148" s="6" t="n">
        <x:v>1161.67</x:v>
      </x:c>
      <x:c r="F148" t="n">
        <x:v>19</x:v>
      </x:c>
      <x:c r="G148" s="7" t="n">
        <x:v>0.2</x:v>
      </x:c>
      <x:c r="H148" s="8" t="n">
        <x:v>45647</x:v>
      </x:c>
      <x:c r="I148" s="6" t="n">
        <x:v>232.33</x:v>
      </x:c>
      <x:c r="J148" s="9" t="n">
        <x:f>NOW()</x:f>
        <x:v>46274</x:v>
      </x:c>
      <x:c r="K148" t="str">
        <x:f>TEXT(H148,"mmm-yy")</x:f>
        <x:v>Dec-24</x:v>
      </x:c>
    </x:row>
    <x:row r="149" ht="15" hidden="0" customHeight="1">
      <x:c r="A149" t="str">
        <x:v>CUST022</x:v>
      </x:c>
      <x:c r="B149" t="str">
        <x:v>Lisa Thomas</x:v>
      </x:c>
      <x:c r="C149" t="str">
        <x:v>Central</x:v>
      </x:c>
      <x:c r="D149" t="str">
        <x:v>Office Supplies</x:v>
      </x:c>
      <x:c r="E149" s="6" t="n">
        <x:v>388.23</x:v>
      </x:c>
      <x:c r="F149" t="n">
        <x:v>16</x:v>
      </x:c>
      <x:c r="G149" s="7" t="n">
        <x:v>0.05</x:v>
      </x:c>
      <x:c r="H149" s="8" t="n">
        <x:v>45650</x:v>
      </x:c>
      <x:c r="I149" s="6" t="n">
        <x:v>165.97</x:v>
      </x:c>
      <x:c r="J149" s="9" t="n">
        <x:f>NOW()</x:f>
        <x:v>46274</x:v>
      </x:c>
      <x:c r="K149" t="str">
        <x:f>TEXT(H149,"mmm-yy")</x:f>
        <x:v>Dec-24</x:v>
      </x:c>
    </x:row>
    <x:row r="150" ht="15" hidden="0" customHeight="1">
      <x:c r="A150" t="str">
        <x:v>CUST004</x:v>
      </x:c>
      <x:c r="B150" t="str">
        <x:v>Mary Davis</x:v>
      </x:c>
      <x:c r="C150" t="str">
        <x:v>North</x:v>
      </x:c>
      <x:c r="D150" t="str">
        <x:v>Clothing</x:v>
      </x:c>
      <x:c r="E150" s="6" t="n">
        <x:v>1589.42</x:v>
      </x:c>
      <x:c r="F150" t="n">
        <x:v>6</x:v>
      </x:c>
      <x:c r="G150" s="7" t="n">
        <x:v>0.15</x:v>
      </x:c>
      <x:c r="H150" s="8" t="n">
        <x:v>45651</x:v>
      </x:c>
      <x:c r="I150" s="6" t="n">
        <x:v>675.5</x:v>
      </x:c>
      <x:c r="J150" s="9" t="n">
        <x:f>NOW()</x:f>
        <x:v>46274</x:v>
      </x:c>
      <x:c r="K150" t="str">
        <x:f>TEXT(H150,"mmm-yy")</x:f>
        <x:v>Dec-24</x:v>
      </x:c>
    </x:row>
    <x:row r="151" ht="15" hidden="0" customHeight="1">
      <x:c r="A151" t="str">
        <x:v>CUST001</x:v>
      </x:c>
      <x:c r="B151" t="str">
        <x:v>David Anderson</x:v>
      </x:c>
      <x:c r="C151" t="str">
        <x:v>North</x:v>
      </x:c>
      <x:c r="D151" t="str">
        <x:v>Clothing</x:v>
      </x:c>
      <x:c r="E151" s="6" t="n">
        <x:v>336.66</x:v>
      </x:c>
      <x:c r="F151" t="n">
        <x:v>13</x:v>
      </x:c>
      <x:c r="G151" s="7" t="n">
        <x:v>0.2</x:v>
      </x:c>
      <x:c r="H151" s="8" t="n">
        <x:v>45651</x:v>
      </x:c>
      <x:c r="I151" s="6" t="n">
        <x:v>134.66</x:v>
      </x:c>
      <x:c r="J151" s="9" t="n">
        <x:f>NOW()</x:f>
        <x:v>46274</x:v>
      </x:c>
      <x:c r="K151" t="str">
        <x:f>TEXT(H151,"mmm-yy")</x:f>
        <x:v>Dec-24</x:v>
      </x:c>
    </x:row>
    <x:row r="152" ht="15" hidden="0" customHeight="1">
      <x:c r="A152" t="str">
        <x:v>CUST022</x:v>
      </x:c>
      <x:c r="B152" t="str">
        <x:v>James Wilson</x:v>
      </x:c>
      <x:c r="C152" t="str">
        <x:v>West</x:v>
      </x:c>
      <x:c r="D152" t="str">
        <x:v>Books</x:v>
      </x:c>
      <x:c r="E152" s="6" t="n">
        <x:v>1353.79</x:v>
      </x:c>
      <x:c r="F152" t="n">
        <x:v>14</x:v>
      </x:c>
      <x:c r="G152" s="7" t="n">
        <x:v>0.1</x:v>
      </x:c>
      <x:c r="H152" s="8" t="n">
        <x:v>45656</x:v>
      </x:c>
      <x:c r="I152" s="6" t="n">
        <x:v>487.36</x:v>
      </x:c>
      <x:c r="J152" s="9" t="n">
        <x:f>NOW()</x:f>
        <x:v>46274</x:v>
      </x:c>
      <x:c r="K152" t="str">
        <x:f>TEXT(H152,"mmm-yy")</x:f>
        <x:v>Dec-24</x:v>
      </x:c>
    </x:row>
    <x:row r="153" ht="15" hidden="0" customHeight="1">
      <x:c r="A153" t="str">
        <x:v>CUST011</x:v>
      </x:c>
      <x:c r="B153" t="str">
        <x:v>Linda Moore</x:v>
      </x:c>
      <x:c r="C153" t="str">
        <x:v>Central</x:v>
      </x:c>
      <x:c r="D153" t="str">
        <x:v>Clothing</x:v>
      </x:c>
      <x:c r="E153" s="6" t="n">
        <x:v>662.61</x:v>
      </x:c>
      <x:c r="F153" t="n">
        <x:v>11</x:v>
      </x:c>
      <x:c r="G153" s="7" t="n">
        <x:v>0.05</x:v>
      </x:c>
      <x:c r="H153" s="8" t="n">
        <x:v>45658</x:v>
      </x:c>
      <x:c r="I153" s="6" t="n">
        <x:v>314.74</x:v>
      </x:c>
      <x:c r="J153" s="9" t="n">
        <x:f>NOW()</x:f>
        <x:v>46274</x:v>
      </x:c>
      <x:c r="K153" t="str">
        <x:f>TEXT(H153,"mmm-yy")</x:f>
        <x:v>Jan-25</x:v>
      </x:c>
    </x:row>
    <x:row r="154" ht="15" hidden="0" customHeight="1">
      <x:c r="A154" t="str">
        <x:v>CUST028</x:v>
      </x:c>
      <x:c r="B154" t="str">
        <x:v>Lisa Davis</x:v>
      </x:c>
      <x:c r="C154" t="str">
        <x:v>North</x:v>
      </x:c>
      <x:c r="D154" t="str">
        <x:v>Office Supplies</x:v>
      </x:c>
      <x:c r="E154" s="6" t="n">
        <x:v>309.42</x:v>
      </x:c>
      <x:c r="F154" t="n">
        <x:v>1</x:v>
      </x:c>
      <x:c r="G154" s="7" t="n">
        <x:v>0.2</x:v>
      </x:c>
      <x:c r="H154" s="8" t="n">
        <x:v>45658</x:v>
      </x:c>
      <x:c r="I154" s="6" t="n">
        <x:v>111.39</x:v>
      </x:c>
      <x:c r="J154" s="9" t="n">
        <x:f>NOW()</x:f>
        <x:v>46274</x:v>
      </x:c>
      <x:c r="K154" t="str">
        <x:f>TEXT(H154,"mmm-yy")</x:f>
        <x:v>Jan-25</x:v>
      </x:c>
    </x:row>
    <x:row r="155" ht="15" hidden="0" customHeight="1">
      <x:c r="A155" t="str">
        <x:v>CUST011</x:v>
      </x:c>
      <x:c r="B155" t="str">
        <x:v>Linda Wilson</x:v>
      </x:c>
      <x:c r="C155" t="str">
        <x:v>North</x:v>
      </x:c>
      <x:c r="D155" t="str">
        <x:v>Books</x:v>
      </x:c>
      <x:c r="E155" s="6" t="n">
        <x:v>884.63</x:v>
      </x:c>
      <x:c r="F155" t="n">
        <x:v>18</x:v>
      </x:c>
      <x:c r="G155" s="7" t="n">
        <x:v>0.1</x:v>
      </x:c>
      <x:c r="H155" s="8" t="n">
        <x:v>45659</x:v>
      </x:c>
      <x:c r="I155" s="6" t="n">
        <x:v>318.47</x:v>
      </x:c>
      <x:c r="J155" s="9" t="n">
        <x:f>NOW()</x:f>
        <x:v>46274</x:v>
      </x:c>
      <x:c r="K155" t="str">
        <x:f>TEXT(H155,"mmm-yy")</x:f>
        <x:v>Jan-25</x:v>
      </x:c>
    </x:row>
    <x:row r="156" ht="15" hidden="0" customHeight="1">
      <x:c r="A156" t="str">
        <x:v>CUST028</x:v>
      </x:c>
      <x:c r="B156" t="str">
        <x:v>James Wilson</x:v>
      </x:c>
      <x:c r="C156" t="str">
        <x:v>Central</x:v>
      </x:c>
      <x:c r="D156" t="str">
        <x:v>Office Supplies</x:v>
      </x:c>
      <x:c r="E156" s="6" t="n">
        <x:v>745.05</x:v>
      </x:c>
      <x:c r="F156" t="n">
        <x:v>10</x:v>
      </x:c>
      <x:c r="G156" s="7" t="n">
        <x:v>0.1</x:v>
      </x:c>
      <x:c r="H156" s="8" t="n">
        <x:v>45660</x:v>
      </x:c>
      <x:c r="I156" s="6" t="n">
        <x:v>301.75</x:v>
      </x:c>
      <x:c r="J156" s="9" t="n">
        <x:f>NOW()</x:f>
        <x:v>46274</x:v>
      </x:c>
      <x:c r="K156" t="str">
        <x:f>TEXT(H156,"mmm-yy")</x:f>
        <x:v>Jan-25</x:v>
      </x:c>
    </x:row>
    <x:row r="157" ht="15" hidden="0" customHeight="1">
      <x:c r="A157" t="str">
        <x:v>CUST016</x:v>
      </x:c>
      <x:c r="B157" t="str">
        <x:v>James Taylor</x:v>
      </x:c>
      <x:c r="C157" t="str">
        <x:v>South</x:v>
      </x:c>
      <x:c r="D157" t="str">
        <x:v>Clothing</x:v>
      </x:c>
      <x:c r="E157" s="6" t="n">
        <x:v>870.23</x:v>
      </x:c>
      <x:c r="F157" t="n">
        <x:v>5</x:v>
      </x:c>
      <x:c r="G157" s="7" t="n">
        <x:v>0.05</x:v>
      </x:c>
      <x:c r="H157" s="8" t="n">
        <x:v>45660</x:v>
      </x:c>
      <x:c r="I157" s="6" t="n">
        <x:v>413.36</x:v>
      </x:c>
      <x:c r="J157" s="9" t="n">
        <x:f>NOW()</x:f>
        <x:v>46274</x:v>
      </x:c>
      <x:c r="K157" t="str">
        <x:f>TEXT(H157,"mmm-yy")</x:f>
        <x:v>Jan-25</x:v>
      </x:c>
    </x:row>
    <x:row r="158" ht="15" hidden="0" customHeight="1">
      <x:c r="A158" t="str">
        <x:v>CUST010</x:v>
      </x:c>
      <x:c r="B158" t="str">
        <x:v>Linda Wilson</x:v>
      </x:c>
      <x:c r="C158" t="str">
        <x:v>West</x:v>
      </x:c>
      <x:c r="D158" t="str">
        <x:v>Furniture</x:v>
      </x:c>
      <x:c r="E158" s="6" t="n">
        <x:v>862.19</x:v>
      </x:c>
      <x:c r="F158" t="n">
        <x:v>18</x:v>
      </x:c>
      <x:c r="G158" s="7" t="n">
        <x:v>0.05</x:v>
      </x:c>
      <x:c r="H158" s="8" t="n">
        <x:v>45663</x:v>
      </x:c>
      <x:c r="I158" s="6" t="n">
        <x:v>286.68</x:v>
      </x:c>
      <x:c r="J158" s="9" t="n">
        <x:f>NOW()</x:f>
        <x:v>46274</x:v>
      </x:c>
      <x:c r="K158" t="str">
        <x:f>TEXT(H158,"mmm-yy")</x:f>
        <x:v>Jan-25</x:v>
      </x:c>
    </x:row>
    <x:row r="159" ht="15" hidden="0" customHeight="1">
      <x:c r="A159" t="str">
        <x:v>CUST013</x:v>
      </x:c>
      <x:c r="B159" t="str">
        <x:v>Mary Wilson</x:v>
      </x:c>
      <x:c r="C159" t="str">
        <x:v>North</x:v>
      </x:c>
      <x:c r="D159" t="str">
        <x:v>Clothing</x:v>
      </x:c>
      <x:c r="E159" s="6" t="n">
        <x:v>1171.18</x:v>
      </x:c>
      <x:c r="F159" t="n">
        <x:v>19</x:v>
      </x:c>
      <x:c r="G159" s="7" t="n">
        <x:v>0.05</x:v>
      </x:c>
      <x:c r="H159" s="8" t="n">
        <x:v>45667</x:v>
      </x:c>
      <x:c r="I159" s="6" t="n">
        <x:v>556.31</x:v>
      </x:c>
      <x:c r="J159" s="9" t="n">
        <x:f>NOW()</x:f>
        <x:v>46274</x:v>
      </x:c>
      <x:c r="K159" t="str">
        <x:f>TEXT(H159,"mmm-yy")</x:f>
        <x:v>Jan-25</x:v>
      </x:c>
    </x:row>
    <x:row r="160" ht="15" hidden="0" customHeight="1">
      <x:c r="A160" t="str">
        <x:v>CUST015</x:v>
      </x:c>
      <x:c r="B160" t="str">
        <x:v>Robert Anderson</x:v>
      </x:c>
      <x:c r="C160" t="str">
        <x:v>South</x:v>
      </x:c>
      <x:c r="D160" t="str">
        <x:v>Furniture</x:v>
      </x:c>
      <x:c r="E160" s="6" t="n">
        <x:v>1054.56</x:v>
      </x:c>
      <x:c r="F160" t="n">
        <x:v>11</x:v>
      </x:c>
      <x:c r="G160" s="7" t="n">
        <x:v>0.1</x:v>
      </x:c>
      <x:c r="H160" s="8" t="n">
        <x:v>45669</x:v>
      </x:c>
      <x:c r="I160" s="6" t="n">
        <x:v>332.19</x:v>
      </x:c>
      <x:c r="J160" s="9" t="n">
        <x:f>NOW()</x:f>
        <x:v>46274</x:v>
      </x:c>
      <x:c r="K160" t="str">
        <x:f>TEXT(H160,"mmm-yy")</x:f>
        <x:v>Jan-25</x:v>
      </x:c>
    </x:row>
    <x:row r="161" ht="15" hidden="0" customHeight="1">
      <x:c r="A161" t="str">
        <x:v>CUST015</x:v>
      </x:c>
      <x:c r="B161" t="str">
        <x:v>James Wilson</x:v>
      </x:c>
      <x:c r="C161" t="str">
        <x:v>North</x:v>
      </x:c>
      <x:c r="D161" t="str">
        <x:v>Electronics</x:v>
      </x:c>
      <x:c r="E161" s="6" t="n">
        <x:v>1681.21</x:v>
      </x:c>
      <x:c r="F161" t="n">
        <x:v>5</x:v>
      </x:c>
      <x:c r="G161" s="7" t="n">
        <x:v>0.2</x:v>
      </x:c>
      <x:c r="H161" s="8" t="n">
        <x:v>45670</x:v>
      </x:c>
      <x:c r="I161" s="6" t="n">
        <x:v>336.24</x:v>
      </x:c>
      <x:c r="J161" s="9" t="n">
        <x:f>NOW()</x:f>
        <x:v>46274</x:v>
      </x:c>
      <x:c r="K161" t="str">
        <x:f>TEXT(H161,"mmm-yy")</x:f>
        <x:v>Jan-25</x:v>
      </x:c>
    </x:row>
    <x:row r="162" ht="15" hidden="0" customHeight="1">
      <x:c r="A162" t="str">
        <x:v>CUST015</x:v>
      </x:c>
      <x:c r="B162" t="str">
        <x:v>David Thomas</x:v>
      </x:c>
      <x:c r="C162" t="str">
        <x:v>West</x:v>
      </x:c>
      <x:c r="D162" t="str">
        <x:v>Clothing</x:v>
      </x:c>
      <x:c r="E162" s="6" t="n">
        <x:v>379.77</x:v>
      </x:c>
      <x:c r="F162" t="n">
        <x:v>9</x:v>
      </x:c>
      <x:c r="G162" s="7" t="n">
        <x:v>0.05</x:v>
      </x:c>
      <x:c r="H162" s="8" t="n">
        <x:v>45673</x:v>
      </x:c>
      <x:c r="I162" s="6" t="n">
        <x:v>180.39</x:v>
      </x:c>
      <x:c r="J162" s="9" t="n">
        <x:f>NOW()</x:f>
        <x:v>46274</x:v>
      </x:c>
      <x:c r="K162" t="str">
        <x:f>TEXT(H162,"mmm-yy")</x:f>
        <x:v>Jan-25</x:v>
      </x:c>
    </x:row>
    <x:row r="163" ht="15" hidden="0" customHeight="1">
      <x:c r="A163" t="str">
        <x:v>CUST008</x:v>
      </x:c>
      <x:c r="B163" t="str">
        <x:v>Lisa Thomas</x:v>
      </x:c>
      <x:c r="C163" t="str">
        <x:v>Central</x:v>
      </x:c>
      <x:c r="D163" t="str">
        <x:v>Clothing</x:v>
      </x:c>
      <x:c r="E163" s="6" t="n">
        <x:v>1076.33</x:v>
      </x:c>
      <x:c r="F163" t="n">
        <x:v>2</x:v>
      </x:c>
      <x:c r="G163" s="7" t="n">
        <x:v>0.1</x:v>
      </x:c>
      <x:c r="H163" s="8" t="n">
        <x:v>45674</x:v>
      </x:c>
      <x:c r="I163" s="6" t="n">
        <x:v>484.35</x:v>
      </x:c>
      <x:c r="J163" s="9" t="n">
        <x:f>NOW()</x:f>
        <x:v>46274</x:v>
      </x:c>
      <x:c r="K163" t="str">
        <x:f>TEXT(H163,"mmm-yy")</x:f>
        <x:v>Jan-25</x:v>
      </x:c>
    </x:row>
    <x:row r="164" ht="15" hidden="0" customHeight="1">
      <x:c r="A164" t="str">
        <x:v>CUST008</x:v>
      </x:c>
      <x:c r="B164" t="str">
        <x:v>Mary Davis</x:v>
      </x:c>
      <x:c r="C164" t="str">
        <x:v>Central</x:v>
      </x:c>
      <x:c r="D164" t="str">
        <x:v>Office Supplies</x:v>
      </x:c>
      <x:c r="E164" s="6" t="n">
        <x:v>1250.71</x:v>
      </x:c>
      <x:c r="F164" t="n">
        <x:v>7</x:v>
      </x:c>
      <x:c r="G164" s="7" t="n">
        <x:v>0</x:v>
      </x:c>
      <x:c r="H164" s="8" t="n">
        <x:v>45674</x:v>
      </x:c>
      <x:c r="I164" s="6" t="n">
        <x:v>562.82</x:v>
      </x:c>
      <x:c r="J164" s="9" t="n">
        <x:f>NOW()</x:f>
        <x:v>46274</x:v>
      </x:c>
      <x:c r="K164" t="str">
        <x:f>TEXT(H164,"mmm-yy")</x:f>
        <x:v>Jan-25</x:v>
      </x:c>
    </x:row>
    <x:row r="165" ht="15" hidden="0" customHeight="1">
      <x:c r="A165" t="str">
        <x:v>CUST023</x:v>
      </x:c>
      <x:c r="B165" t="str">
        <x:v>James Taylor</x:v>
      </x:c>
      <x:c r="C165" t="str">
        <x:v>South</x:v>
      </x:c>
      <x:c r="D165" t="str">
        <x:v>Clothing</x:v>
      </x:c>
      <x:c r="E165" s="6" t="n">
        <x:v>1118.34</x:v>
      </x:c>
      <x:c r="F165" t="n">
        <x:v>6</x:v>
      </x:c>
      <x:c r="G165" s="7" t="n">
        <x:v>0.2</x:v>
      </x:c>
      <x:c r="H165" s="8" t="n">
        <x:v>45674</x:v>
      </x:c>
      <x:c r="I165" s="6" t="n">
        <x:v>447.34</x:v>
      </x:c>
      <x:c r="J165" s="9" t="n">
        <x:f>NOW()</x:f>
        <x:v>46274</x:v>
      </x:c>
      <x:c r="K165" t="str">
        <x:f>TEXT(H165,"mmm-yy")</x:f>
        <x:v>Jan-25</x:v>
      </x:c>
    </x:row>
    <x:row r="166" ht="15" hidden="0" customHeight="1">
      <x:c r="A166" t="str">
        <x:v>CUST024</x:v>
      </x:c>
      <x:c r="B166" t="str">
        <x:v>Linda Taylor</x:v>
      </x:c>
      <x:c r="C166" t="str">
        <x:v>North</x:v>
      </x:c>
      <x:c r="D166" t="str">
        <x:v>Clothing</x:v>
      </x:c>
      <x:c r="E166" s="6" t="n">
        <x:v>1622.62</x:v>
      </x:c>
      <x:c r="F166" t="n">
        <x:v>12</x:v>
      </x:c>
      <x:c r="G166" s="7" t="n">
        <x:v>0.2</x:v>
      </x:c>
      <x:c r="H166" s="8" t="n">
        <x:v>45677</x:v>
      </x:c>
      <x:c r="I166" s="6" t="n">
        <x:v>649.05</x:v>
      </x:c>
      <x:c r="J166" s="9" t="n">
        <x:f>NOW()</x:f>
        <x:v>46274</x:v>
      </x:c>
      <x:c r="K166" t="str">
        <x:f>TEXT(H166,"mmm-yy")</x:f>
        <x:v>Jan-25</x:v>
      </x:c>
    </x:row>
    <x:row r="167" ht="15" hidden="0" customHeight="1">
      <x:c r="A167" t="str">
        <x:v>CUST018</x:v>
      </x:c>
      <x:c r="B167" t="str">
        <x:v>Lisa Davis</x:v>
      </x:c>
      <x:c r="C167" t="str">
        <x:v>North</x:v>
      </x:c>
      <x:c r="D167" t="str">
        <x:v>Books</x:v>
      </x:c>
      <x:c r="E167" s="6" t="n">
        <x:v>640.64</x:v>
      </x:c>
      <x:c r="F167" t="n">
        <x:v>11</x:v>
      </x:c>
      <x:c r="G167" s="7" t="n">
        <x:v>0.2</x:v>
      </x:c>
      <x:c r="H167" s="8" t="n">
        <x:v>45678</x:v>
      </x:c>
      <x:c r="I167" s="6" t="n">
        <x:v>205</x:v>
      </x:c>
      <x:c r="J167" s="9" t="n">
        <x:f>NOW()</x:f>
        <x:v>46274</x:v>
      </x:c>
      <x:c r="K167" t="str">
        <x:f>TEXT(H167,"mmm-yy")</x:f>
        <x:v>Jan-25</x:v>
      </x:c>
    </x:row>
    <x:row r="168" ht="15" hidden="0" customHeight="1">
      <x:c r="A168" t="str">
        <x:v>CUST030</x:v>
      </x:c>
      <x:c r="B168" t="str">
        <x:v>Sarah Anderson</x:v>
      </x:c>
      <x:c r="C168" t="str">
        <x:v>West</x:v>
      </x:c>
      <x:c r="D168" t="str">
        <x:v>Clothing</x:v>
      </x:c>
      <x:c r="E168" s="6" t="n">
        <x:v>585.16</x:v>
      </x:c>
      <x:c r="F168" t="n">
        <x:v>17</x:v>
      </x:c>
      <x:c r="G168" s="7" t="n">
        <x:v>0.1</x:v>
      </x:c>
      <x:c r="H168" s="8" t="n">
        <x:v>45684</x:v>
      </x:c>
      <x:c r="I168" s="6" t="n">
        <x:v>263.32</x:v>
      </x:c>
      <x:c r="J168" s="9" t="n">
        <x:f>NOW()</x:f>
        <x:v>46274</x:v>
      </x:c>
      <x:c r="K168" t="str">
        <x:f>TEXT(H168,"mmm-yy")</x:f>
        <x:v>Jan-25</x:v>
      </x:c>
    </x:row>
    <x:row r="169" ht="15" hidden="0" customHeight="1">
      <x:c r="A169" t="str">
        <x:v>CUST030</x:v>
      </x:c>
      <x:c r="B169" t="str">
        <x:v>Mary Davis</x:v>
      </x:c>
      <x:c r="C169" t="str">
        <x:v>East</x:v>
      </x:c>
      <x:c r="D169" t="str">
        <x:v>Clothing</x:v>
      </x:c>
      <x:c r="E169" s="6" t="n">
        <x:v>1109.98</x:v>
      </x:c>
      <x:c r="F169" t="n">
        <x:v>5</x:v>
      </x:c>
      <x:c r="G169" s="7" t="n">
        <x:v>0.2</x:v>
      </x:c>
      <x:c r="H169" s="8" t="n">
        <x:v>45690</x:v>
      </x:c>
      <x:c r="I169" s="6" t="n">
        <x:v>443.99</x:v>
      </x:c>
      <x:c r="J169" s="9" t="n">
        <x:f>NOW()</x:f>
        <x:v>46274</x:v>
      </x:c>
      <x:c r="K169" t="str">
        <x:f>TEXT(H169,"mmm-yy")</x:f>
        <x:v>Feb-25</x:v>
      </x:c>
    </x:row>
    <x:row r="170" ht="15" hidden="0" customHeight="1">
      <x:c r="A170" t="str">
        <x:v>CUST015</x:v>
      </x:c>
      <x:c r="B170" t="str">
        <x:v>Lisa Thomas</x:v>
      </x:c>
      <x:c r="C170" t="str">
        <x:v>East</x:v>
      </x:c>
      <x:c r="D170" t="str">
        <x:v>Books</x:v>
      </x:c>
      <x:c r="E170" s="6" t="n">
        <x:v>1098.08</x:v>
      </x:c>
      <x:c r="F170" t="n">
        <x:v>9</x:v>
      </x:c>
      <x:c r="G170" s="7" t="n">
        <x:v>0.1</x:v>
      </x:c>
      <x:c r="H170" s="8" t="n">
        <x:v>45692</x:v>
      </x:c>
      <x:c r="I170" s="6" t="n">
        <x:v>395.31</x:v>
      </x:c>
      <x:c r="J170" s="9" t="n">
        <x:f>NOW()</x:f>
        <x:v>46274</x:v>
      </x:c>
      <x:c r="K170" t="str">
        <x:f>TEXT(H170,"mmm-yy")</x:f>
        <x:v>Feb-25</x:v>
      </x:c>
    </x:row>
    <x:row r="171" ht="15" hidden="0" customHeight="1">
      <x:c r="A171" t="str">
        <x:v>CUST002</x:v>
      </x:c>
      <x:c r="B171" t="str">
        <x:v>Lisa Davis</x:v>
      </x:c>
      <x:c r="C171" t="str">
        <x:v>West</x:v>
      </x:c>
      <x:c r="D171" t="str">
        <x:v>Office Supplies</x:v>
      </x:c>
      <x:c r="E171" s="6" t="n">
        <x:v>827.25</x:v>
      </x:c>
      <x:c r="F171" t="n">
        <x:v>7</x:v>
      </x:c>
      <x:c r="G171" s="7" t="n">
        <x:v>0.1</x:v>
      </x:c>
      <x:c r="H171" s="8" t="n">
        <x:v>45693</x:v>
      </x:c>
      <x:c r="I171" s="6" t="n">
        <x:v>335.04</x:v>
      </x:c>
      <x:c r="J171" s="9" t="n">
        <x:f>NOW()</x:f>
        <x:v>46274</x:v>
      </x:c>
      <x:c r="K171" t="str">
        <x:f>TEXT(H171,"mmm-yy")</x:f>
        <x:v>Feb-25</x:v>
      </x:c>
    </x:row>
    <x:row r="172" ht="15" hidden="0" customHeight="1">
      <x:c r="A172" t="str">
        <x:v>CUST024</x:v>
      </x:c>
      <x:c r="B172" t="str">
        <x:v>Linda Wilson</x:v>
      </x:c>
      <x:c r="C172" t="str">
        <x:v>Central</x:v>
      </x:c>
      <x:c r="D172" t="str">
        <x:v>Clothing</x:v>
      </x:c>
      <x:c r="E172" s="6" t="n">
        <x:v>741.88</x:v>
      </x:c>
      <x:c r="F172" t="n">
        <x:v>16</x:v>
      </x:c>
      <x:c r="G172" s="7" t="n">
        <x:v>0.1</x:v>
      </x:c>
      <x:c r="H172" s="8" t="n">
        <x:v>45695</x:v>
      </x:c>
      <x:c r="I172" s="6" t="n">
        <x:v>333.85</x:v>
      </x:c>
      <x:c r="J172" s="9" t="n">
        <x:f>NOW()</x:f>
        <x:v>46274</x:v>
      </x:c>
      <x:c r="K172" t="str">
        <x:f>TEXT(H172,"mmm-yy")</x:f>
        <x:v>Feb-25</x:v>
      </x:c>
    </x:row>
    <x:row r="173" ht="15" hidden="0" customHeight="1">
      <x:c r="A173" t="str">
        <x:v>CUST004</x:v>
      </x:c>
      <x:c r="B173" t="str">
        <x:v>James Davis</x:v>
      </x:c>
      <x:c r="C173" t="str">
        <x:v>East</x:v>
      </x:c>
      <x:c r="D173" t="str">
        <x:v>Office Supplies</x:v>
      </x:c>
      <x:c r="E173" s="6" t="n">
        <x:v>1311.26</x:v>
      </x:c>
      <x:c r="F173" t="n">
        <x:v>6</x:v>
      </x:c>
      <x:c r="G173" s="7" t="n">
        <x:v>0.1</x:v>
      </x:c>
      <x:c r="H173" s="8" t="n">
        <x:v>45698</x:v>
      </x:c>
      <x:c r="I173" s="6" t="n">
        <x:v>531.06</x:v>
      </x:c>
      <x:c r="J173" s="9" t="n">
        <x:f>NOW()</x:f>
        <x:v>46274</x:v>
      </x:c>
      <x:c r="K173" t="str">
        <x:f>TEXT(H173,"mmm-yy")</x:f>
        <x:v>Feb-25</x:v>
      </x:c>
    </x:row>
    <x:row r="174" ht="15" hidden="0" customHeight="1">
      <x:c r="A174" t="str">
        <x:v>CUST004</x:v>
      </x:c>
      <x:c r="B174" t="str">
        <x:v>Mary Davis</x:v>
      </x:c>
      <x:c r="C174" t="str">
        <x:v>South</x:v>
      </x:c>
      <x:c r="D174" t="str">
        <x:v>Office Supplies</x:v>
      </x:c>
      <x:c r="E174" s="6" t="n">
        <x:v>573.32</x:v>
      </x:c>
      <x:c r="F174" t="n">
        <x:v>19</x:v>
      </x:c>
      <x:c r="G174" s="7" t="n">
        <x:v>0.1</x:v>
      </x:c>
      <x:c r="H174" s="8" t="n">
        <x:v>45703</x:v>
      </x:c>
      <x:c r="I174" s="6" t="n">
        <x:v>232.19</x:v>
      </x:c>
      <x:c r="J174" s="9" t="n">
        <x:f>NOW()</x:f>
        <x:v>46274</x:v>
      </x:c>
      <x:c r="K174" t="str">
        <x:f>TEXT(H174,"mmm-yy")</x:f>
        <x:v>Feb-25</x:v>
      </x:c>
    </x:row>
    <x:row r="175" ht="15" hidden="0" customHeight="1">
      <x:c r="A175" t="str">
        <x:v>CUST028</x:v>
      </x:c>
      <x:c r="B175" t="str">
        <x:v>James Wilson</x:v>
      </x:c>
      <x:c r="C175" t="str">
        <x:v>West</x:v>
      </x:c>
      <x:c r="D175" t="str">
        <x:v>Electronics</x:v>
      </x:c>
      <x:c r="E175" s="6" t="n">
        <x:v>1115.22</x:v>
      </x:c>
      <x:c r="F175" t="n">
        <x:v>14</x:v>
      </x:c>
      <x:c r="G175" s="7" t="n">
        <x:v>0.2</x:v>
      </x:c>
      <x:c r="H175" s="8" t="n">
        <x:v>45705</x:v>
      </x:c>
      <x:c r="I175" s="6" t="n">
        <x:v>223.04</x:v>
      </x:c>
      <x:c r="J175" s="9" t="n">
        <x:f>NOW()</x:f>
        <x:v>46274</x:v>
      </x:c>
      <x:c r="K175" t="str">
        <x:f>TEXT(H175,"mmm-yy")</x:f>
        <x:v>Feb-25</x:v>
      </x:c>
    </x:row>
    <x:row r="176" ht="15" hidden="0" customHeight="1">
      <x:c r="A176" t="str">
        <x:v>CUST012</x:v>
      </x:c>
      <x:c r="B176" t="str">
        <x:v>Lisa Thomas</x:v>
      </x:c>
      <x:c r="C176" t="str">
        <x:v>North</x:v>
      </x:c>
      <x:c r="D176" t="str">
        <x:v>Clothing</x:v>
      </x:c>
      <x:c r="E176" s="6" t="n">
        <x:v>845.84</x:v>
      </x:c>
      <x:c r="F176" t="n">
        <x:v>4</x:v>
      </x:c>
      <x:c r="G176" s="7" t="n">
        <x:v>0</x:v>
      </x:c>
      <x:c r="H176" s="8" t="n">
        <x:v>45707</x:v>
      </x:c>
      <x:c r="I176" s="6" t="n">
        <x:v>422.92</x:v>
      </x:c>
      <x:c r="J176" s="9" t="n">
        <x:f>NOW()</x:f>
        <x:v>46274</x:v>
      </x:c>
      <x:c r="K176" t="str">
        <x:f>TEXT(H176,"mmm-yy")</x:f>
        <x:v>Feb-25</x:v>
      </x:c>
    </x:row>
    <x:row r="177" ht="15" hidden="0" customHeight="1">
      <x:c r="A177" t="str">
        <x:v>CUST026</x:v>
      </x:c>
      <x:c r="B177" t="str">
        <x:v>David Brown</x:v>
      </x:c>
      <x:c r="C177" t="str">
        <x:v>West</x:v>
      </x:c>
      <x:c r="D177" t="str">
        <x:v>Electronics</x:v>
      </x:c>
      <x:c r="E177" s="6" t="n">
        <x:v>1029.8</x:v>
      </x:c>
      <x:c r="F177" t="n">
        <x:v>3</x:v>
      </x:c>
      <x:c r="G177" s="7" t="n">
        <x:v>0</x:v>
      </x:c>
      <x:c r="H177" s="8" t="n">
        <x:v>45708</x:v>
      </x:c>
      <x:c r="I177" s="6" t="n">
        <x:v>257.45</x:v>
      </x:c>
      <x:c r="J177" s="9" t="n">
        <x:f>NOW()</x:f>
        <x:v>46274</x:v>
      </x:c>
      <x:c r="K177" t="str">
        <x:f>TEXT(H177,"mmm-yy")</x:f>
        <x:v>Feb-25</x:v>
      </x:c>
    </x:row>
    <x:row r="178" ht="15" hidden="0" customHeight="1">
      <x:c r="A178" t="str">
        <x:v>CUST009</x:v>
      </x:c>
      <x:c r="B178" t="str">
        <x:v>Mary Davis</x:v>
      </x:c>
      <x:c r="C178" t="str">
        <x:v>North</x:v>
      </x:c>
      <x:c r="D178" t="str">
        <x:v>Books</x:v>
      </x:c>
      <x:c r="E178" s="6" t="n">
        <x:v>1189.83</x:v>
      </x:c>
      <x:c r="F178" t="n">
        <x:v>2</x:v>
      </x:c>
      <x:c r="G178" s="7" t="n">
        <x:v>0.2</x:v>
      </x:c>
      <x:c r="H178" s="8" t="n">
        <x:v>45709</x:v>
      </x:c>
      <x:c r="I178" s="6" t="n">
        <x:v>380.75</x:v>
      </x:c>
      <x:c r="J178" s="9" t="n">
        <x:f>NOW()</x:f>
        <x:v>46274</x:v>
      </x:c>
      <x:c r="K178" t="str">
        <x:f>TEXT(H178,"mmm-yy")</x:f>
        <x:v>Feb-25</x:v>
      </x:c>
    </x:row>
    <x:row r="179" ht="15" hidden="0" customHeight="1">
      <x:c r="A179" t="str">
        <x:v>CUST003</x:v>
      </x:c>
      <x:c r="B179" t="str">
        <x:v>Sarah Anderson</x:v>
      </x:c>
      <x:c r="C179" t="str">
        <x:v>South</x:v>
      </x:c>
      <x:c r="D179" t="str">
        <x:v>Books</x:v>
      </x:c>
      <x:c r="E179" s="6" t="n">
        <x:v>704.28</x:v>
      </x:c>
      <x:c r="F179" t="n">
        <x:v>15</x:v>
      </x:c>
      <x:c r="G179" s="7" t="n">
        <x:v>0.2</x:v>
      </x:c>
      <x:c r="H179" s="8" t="n">
        <x:v>45712</x:v>
      </x:c>
      <x:c r="I179" s="6" t="n">
        <x:v>225.37</x:v>
      </x:c>
      <x:c r="J179" s="9" t="n">
        <x:f>NOW()</x:f>
        <x:v>46274</x:v>
      </x:c>
      <x:c r="K179" t="str">
        <x:f>TEXT(H179,"mmm-yy")</x:f>
        <x:v>Feb-25</x:v>
      </x:c>
    </x:row>
    <x:row r="180" ht="15" hidden="0" customHeight="1">
      <x:c r="A180" t="str">
        <x:v>CUST002</x:v>
      </x:c>
      <x:c r="B180" t="str">
        <x:v>Mary Jackson</x:v>
      </x:c>
      <x:c r="C180" t="str">
        <x:v>Central</x:v>
      </x:c>
      <x:c r="D180" t="str">
        <x:v>Office Supplies</x:v>
      </x:c>
      <x:c r="E180" s="6" t="n">
        <x:v>1618.22</x:v>
      </x:c>
      <x:c r="F180" t="n">
        <x:v>12</x:v>
      </x:c>
      <x:c r="G180" s="7" t="n">
        <x:v>0.2</x:v>
      </x:c>
      <x:c r="H180" s="8" t="n">
        <x:v>45712</x:v>
      </x:c>
      <x:c r="I180" s="6" t="n">
        <x:v>582.56</x:v>
      </x:c>
      <x:c r="J180" s="9" t="n">
        <x:f>NOW()</x:f>
        <x:v>46274</x:v>
      </x:c>
      <x:c r="K180" t="str">
        <x:f>TEXT(H180,"mmm-yy")</x:f>
        <x:v>Feb-25</x:v>
      </x:c>
    </x:row>
    <x:row r="181" ht="15" hidden="0" customHeight="1">
      <x:c r="A181" t="str">
        <x:v>CUST013</x:v>
      </x:c>
      <x:c r="B181" t="str">
        <x:v>Linda Taylor</x:v>
      </x:c>
      <x:c r="C181" t="str">
        <x:v>Central</x:v>
      </x:c>
      <x:c r="D181" t="str">
        <x:v>Books</x:v>
      </x:c>
      <x:c r="E181" s="6" t="n">
        <x:v>1014.43</x:v>
      </x:c>
      <x:c r="F181" t="n">
        <x:v>2</x:v>
      </x:c>
      <x:c r="G181" s="7" t="n">
        <x:v>0.15</x:v>
      </x:c>
      <x:c r="H181" s="8" t="n">
        <x:v>45713</x:v>
      </x:c>
      <x:c r="I181" s="6" t="n">
        <x:v>344.91</x:v>
      </x:c>
      <x:c r="J181" s="9" t="n">
        <x:f>NOW()</x:f>
        <x:v>46274</x:v>
      </x:c>
      <x:c r="K181" t="str">
        <x:f>TEXT(H181,"mmm-yy")</x:f>
        <x:v>Feb-25</x:v>
      </x:c>
    </x:row>
    <x:row r="182" ht="15" hidden="0" customHeight="1">
      <x:c r="A182" t="str">
        <x:v>CUST018</x:v>
      </x:c>
      <x:c r="B182" t="str">
        <x:v>Mary Davis</x:v>
      </x:c>
      <x:c r="C182" t="str">
        <x:v>Central</x:v>
      </x:c>
      <x:c r="D182" t="str">
        <x:v>Clothing</x:v>
      </x:c>
      <x:c r="E182" s="6" t="n">
        <x:v>826.97</x:v>
      </x:c>
      <x:c r="F182" t="n">
        <x:v>18</x:v>
      </x:c>
      <x:c r="G182" s="7" t="n">
        <x:v>0.2</x:v>
      </x:c>
      <x:c r="H182" s="8" t="n">
        <x:v>45715</x:v>
      </x:c>
      <x:c r="I182" s="6" t="n">
        <x:v>330.79</x:v>
      </x:c>
      <x:c r="J182" s="9" t="n">
        <x:f>NOW()</x:f>
        <x:v>46274</x:v>
      </x:c>
      <x:c r="K182" t="str">
        <x:f>TEXT(H182,"mmm-yy")</x:f>
        <x:v>Feb-25</x:v>
      </x:c>
    </x:row>
    <x:row r="183" ht="15" hidden="0" customHeight="1">
      <x:c r="A183" t="str">
        <x:v>CUST017</x:v>
      </x:c>
      <x:c r="B183" t="str">
        <x:v>Mary Davis</x:v>
      </x:c>
      <x:c r="C183" t="str">
        <x:v>Central</x:v>
      </x:c>
      <x:c r="D183" t="str">
        <x:v>Clothing</x:v>
      </x:c>
      <x:c r="E183" s="6" t="n">
        <x:v>1022.23</x:v>
      </x:c>
      <x:c r="F183" t="n">
        <x:v>8</x:v>
      </x:c>
      <x:c r="G183" s="7" t="n">
        <x:v>0.1</x:v>
      </x:c>
      <x:c r="H183" s="8" t="n">
        <x:v>45717</x:v>
      </x:c>
      <x:c r="I183" s="6" t="n">
        <x:v>460</x:v>
      </x:c>
      <x:c r="J183" s="9" t="n">
        <x:f>NOW()</x:f>
        <x:v>46274</x:v>
      </x:c>
      <x:c r="K183" t="str">
        <x:f>TEXT(H183,"mmm-yy")</x:f>
        <x:v>Mar-25</x:v>
      </x:c>
    </x:row>
    <x:row r="184" ht="15" hidden="0" customHeight="1">
      <x:c r="A184" t="str">
        <x:v>CUST004</x:v>
      </x:c>
      <x:c r="B184" t="str">
        <x:v>Linda Wilson</x:v>
      </x:c>
      <x:c r="C184" t="str">
        <x:v>East</x:v>
      </x:c>
      <x:c r="D184" t="str">
        <x:v>Books</x:v>
      </x:c>
      <x:c r="E184" s="6" t="n">
        <x:v>1099.69</x:v>
      </x:c>
      <x:c r="F184" t="n">
        <x:v>6</x:v>
      </x:c>
      <x:c r="G184" s="7" t="n">
        <x:v>0</x:v>
      </x:c>
      <x:c r="H184" s="8" t="n">
        <x:v>45718</x:v>
      </x:c>
      <x:c r="I184" s="6" t="n">
        <x:v>439.88</x:v>
      </x:c>
      <x:c r="J184" s="9" t="n">
        <x:f>NOW()</x:f>
        <x:v>46274</x:v>
      </x:c>
      <x:c r="K184" t="str">
        <x:f>TEXT(H184,"mmm-yy")</x:f>
        <x:v>Mar-25</x:v>
      </x:c>
    </x:row>
    <x:row r="185" ht="15" hidden="0" customHeight="1">
      <x:c r="A185" t="str">
        <x:v>CUST028</x:v>
      </x:c>
      <x:c r="B185" t="str">
        <x:v>Sarah Davis</x:v>
      </x:c>
      <x:c r="C185" t="str">
        <x:v>North</x:v>
      </x:c>
      <x:c r="D185" t="str">
        <x:v>Books</x:v>
      </x:c>
      <x:c r="E185" s="6" t="n">
        <x:v>710.52</x:v>
      </x:c>
      <x:c r="F185" t="n">
        <x:v>8</x:v>
      </x:c>
      <x:c r="G185" s="7" t="n">
        <x:v>0.1</x:v>
      </x:c>
      <x:c r="H185" s="8" t="n">
        <x:v>45721</x:v>
      </x:c>
      <x:c r="I185" s="6" t="n">
        <x:v>255.79</x:v>
      </x:c>
      <x:c r="J185" s="9" t="n">
        <x:f>NOW()</x:f>
        <x:v>46274</x:v>
      </x:c>
      <x:c r="K185" t="str">
        <x:f>TEXT(H185,"mmm-yy")</x:f>
        <x:v>Mar-25</x:v>
      </x:c>
    </x:row>
    <x:row r="186" ht="15" hidden="0" customHeight="1">
      <x:c r="A186" t="str">
        <x:v>CUST028</x:v>
      </x:c>
      <x:c r="B186" t="str">
        <x:v>Mary Wilson</x:v>
      </x:c>
      <x:c r="C186" t="str">
        <x:v>North</x:v>
      </x:c>
      <x:c r="D186" t="str">
        <x:v>Books</x:v>
      </x:c>
      <x:c r="E186" s="6" t="n">
        <x:v>499.18</x:v>
      </x:c>
      <x:c r="F186" t="n">
        <x:v>15</x:v>
      </x:c>
      <x:c r="G186" s="7" t="n">
        <x:v>0.2</x:v>
      </x:c>
      <x:c r="H186" s="8" t="n">
        <x:v>45724</x:v>
      </x:c>
      <x:c r="I186" s="6" t="n">
        <x:v>159.74</x:v>
      </x:c>
      <x:c r="J186" s="9" t="n">
        <x:f>NOW()</x:f>
        <x:v>46274</x:v>
      </x:c>
      <x:c r="K186" t="str">
        <x:f>TEXT(H186,"mmm-yy")</x:f>
        <x:v>Mar-25</x:v>
      </x:c>
    </x:row>
    <x:row r="187" ht="15" hidden="0" customHeight="1">
      <x:c r="A187" t="str">
        <x:v>CUST014</x:v>
      </x:c>
      <x:c r="B187" t="str">
        <x:v>Emma Davis</x:v>
      </x:c>
      <x:c r="C187" t="str">
        <x:v>South</x:v>
      </x:c>
      <x:c r="D187" t="str">
        <x:v>Books</x:v>
      </x:c>
      <x:c r="E187" s="6" t="n">
        <x:v>1064.19</x:v>
      </x:c>
      <x:c r="F187" t="n">
        <x:v>18</x:v>
      </x:c>
      <x:c r="G187" s="7" t="n">
        <x:v>0.05</x:v>
      </x:c>
      <x:c r="H187" s="8" t="n">
        <x:v>45725</x:v>
      </x:c>
      <x:c r="I187" s="6" t="n">
        <x:v>404.39</x:v>
      </x:c>
      <x:c r="J187" s="9" t="n">
        <x:f>NOW()</x:f>
        <x:v>46274</x:v>
      </x:c>
      <x:c r="K187" t="str">
        <x:f>TEXT(H187,"mmm-yy")</x:f>
        <x:v>Mar-25</x:v>
      </x:c>
    </x:row>
    <x:row r="188" ht="15" hidden="0" customHeight="1">
      <x:c r="A188" t="str">
        <x:v>CUST003</x:v>
      </x:c>
      <x:c r="B188" t="str">
        <x:v>Emma Davis</x:v>
      </x:c>
      <x:c r="C188" t="str">
        <x:v>East</x:v>
      </x:c>
      <x:c r="D188" t="str">
        <x:v>Office Supplies</x:v>
      </x:c>
      <x:c r="E188" s="6" t="n">
        <x:v>438.76</x:v>
      </x:c>
      <x:c r="F188" t="n">
        <x:v>18</x:v>
      </x:c>
      <x:c r="G188" s="7" t="n">
        <x:v>0.05</x:v>
      </x:c>
      <x:c r="H188" s="8" t="n">
        <x:v>45726</x:v>
      </x:c>
      <x:c r="I188" s="6" t="n">
        <x:v>187.57</x:v>
      </x:c>
      <x:c r="J188" s="9" t="n">
        <x:f>NOW()</x:f>
        <x:v>46274</x:v>
      </x:c>
      <x:c r="K188" t="str">
        <x:f>TEXT(H188,"mmm-yy")</x:f>
        <x:v>Mar-25</x:v>
      </x:c>
    </x:row>
    <x:row r="189" ht="15" hidden="0" customHeight="1">
      <x:c r="A189" t="str">
        <x:v>CUST029</x:v>
      </x:c>
      <x:c r="B189" t="str">
        <x:v>David Brown</x:v>
      </x:c>
      <x:c r="C189" t="str">
        <x:v>West</x:v>
      </x:c>
      <x:c r="D189" t="str">
        <x:v>Clothing</x:v>
      </x:c>
      <x:c r="E189" s="6" t="n">
        <x:v>864.98</x:v>
      </x:c>
      <x:c r="F189" t="n">
        <x:v>2</x:v>
      </x:c>
      <x:c r="G189" s="7" t="n">
        <x:v>0.05</x:v>
      </x:c>
      <x:c r="H189" s="8" t="n">
        <x:v>45727</x:v>
      </x:c>
      <x:c r="I189" s="6" t="n">
        <x:v>410.87</x:v>
      </x:c>
      <x:c r="J189" s="9" t="n">
        <x:f>NOW()</x:f>
        <x:v>46274</x:v>
      </x:c>
      <x:c r="K189" t="str">
        <x:f>TEXT(H189,"mmm-yy")</x:f>
        <x:v>Mar-25</x:v>
      </x:c>
    </x:row>
    <x:row r="190" ht="15" hidden="0" customHeight="1">
      <x:c r="A190" t="str">
        <x:v>CUST021</x:v>
      </x:c>
      <x:c r="B190" t="str">
        <x:v>David Brown</x:v>
      </x:c>
      <x:c r="C190" t="str">
        <x:v>West</x:v>
      </x:c>
      <x:c r="D190" t="str">
        <x:v>Furniture</x:v>
      </x:c>
      <x:c r="E190" s="6" t="n">
        <x:v>984.93</x:v>
      </x:c>
      <x:c r="F190" t="n">
        <x:v>14</x:v>
      </x:c>
      <x:c r="G190" s="7" t="n">
        <x:v>0.2</x:v>
      </x:c>
      <x:c r="H190" s="8" t="n">
        <x:v>45733</x:v>
      </x:c>
      <x:c r="I190" s="6" t="n">
        <x:v>275.78</x:v>
      </x:c>
      <x:c r="J190" s="9" t="n">
        <x:f>NOW()</x:f>
        <x:v>46274</x:v>
      </x:c>
      <x:c r="K190" t="str">
        <x:f>TEXT(H190,"mmm-yy")</x:f>
        <x:v>Mar-25</x:v>
      </x:c>
    </x:row>
    <x:row r="191" ht="15" hidden="0" customHeight="1">
      <x:c r="A191" t="str">
        <x:v>CUST007</x:v>
      </x:c>
      <x:c r="B191" t="str">
        <x:v>David Brown</x:v>
      </x:c>
      <x:c r="C191" t="str">
        <x:v>West</x:v>
      </x:c>
      <x:c r="D191" t="str">
        <x:v>Clothing</x:v>
      </x:c>
      <x:c r="E191" s="6" t="n">
        <x:v>1493.49</x:v>
      </x:c>
      <x:c r="F191" t="n">
        <x:v>18</x:v>
      </x:c>
      <x:c r="G191" s="7" t="n">
        <x:v>0</x:v>
      </x:c>
      <x:c r="H191" s="8" t="n">
        <x:v>45734</x:v>
      </x:c>
      <x:c r="I191" s="6" t="n">
        <x:v>746.74</x:v>
      </x:c>
      <x:c r="J191" s="9" t="n">
        <x:f>NOW()</x:f>
        <x:v>46274</x:v>
      </x:c>
      <x:c r="K191" t="str">
        <x:f>TEXT(H191,"mmm-yy")</x:f>
        <x:v>Mar-25</x:v>
      </x:c>
    </x:row>
    <x:row r="192" ht="15" hidden="0" customHeight="1">
      <x:c r="A192" t="str">
        <x:v>CUST009</x:v>
      </x:c>
      <x:c r="B192" t="str">
        <x:v>Linda Taylor</x:v>
      </x:c>
      <x:c r="C192" t="str">
        <x:v>South</x:v>
      </x:c>
      <x:c r="D192" t="str">
        <x:v>Clothing</x:v>
      </x:c>
      <x:c r="E192" s="6" t="n">
        <x:v>689.43</x:v>
      </x:c>
      <x:c r="F192" t="n">
        <x:v>9</x:v>
      </x:c>
      <x:c r="G192" s="7" t="n">
        <x:v>0.1</x:v>
      </x:c>
      <x:c r="H192" s="8" t="n">
        <x:v>45736</x:v>
      </x:c>
      <x:c r="I192" s="6" t="n">
        <x:v>310.24</x:v>
      </x:c>
      <x:c r="J192" s="9" t="n">
        <x:f>NOW()</x:f>
        <x:v>46274</x:v>
      </x:c>
      <x:c r="K192" t="str">
        <x:f>TEXT(H192,"mmm-yy")</x:f>
        <x:v>Mar-25</x:v>
      </x:c>
    </x:row>
    <x:row r="193" ht="15" hidden="0" customHeight="1">
      <x:c r="A193" t="str">
        <x:v>CUST023</x:v>
      </x:c>
      <x:c r="B193" t="str">
        <x:v>Mary Wilson</x:v>
      </x:c>
      <x:c r="C193" t="str">
        <x:v>South</x:v>
      </x:c>
      <x:c r="D193" t="str">
        <x:v>Clothing</x:v>
      </x:c>
      <x:c r="E193" s="6" t="n">
        <x:v>682.24</x:v>
      </x:c>
      <x:c r="F193" t="n">
        <x:v>1</x:v>
      </x:c>
      <x:c r="G193" s="7" t="n">
        <x:v>0</x:v>
      </x:c>
      <x:c r="H193" s="8" t="n">
        <x:v>45738</x:v>
      </x:c>
      <x:c r="I193" s="6" t="n">
        <x:v>341.12</x:v>
      </x:c>
      <x:c r="J193" s="9" t="n">
        <x:f>NOW()</x:f>
        <x:v>46274</x:v>
      </x:c>
      <x:c r="K193" t="str">
        <x:f>TEXT(H193,"mmm-yy")</x:f>
        <x:v>Mar-25</x:v>
      </x:c>
    </x:row>
    <x:row r="194" ht="15" hidden="0" customHeight="1">
      <x:c r="A194" t="str">
        <x:v>CUST029</x:v>
      </x:c>
      <x:c r="B194" t="str">
        <x:v>Michael Anderson</x:v>
      </x:c>
      <x:c r="C194" t="str">
        <x:v>North</x:v>
      </x:c>
      <x:c r="D194" t="str">
        <x:v>Electronics</x:v>
      </x:c>
      <x:c r="E194" s="6" t="n">
        <x:v>458.54</x:v>
      </x:c>
      <x:c r="F194" t="n">
        <x:v>15</x:v>
      </x:c>
      <x:c r="G194" s="7" t="n">
        <x:v>0.2</x:v>
      </x:c>
      <x:c r="H194" s="8" t="n">
        <x:v>45741</x:v>
      </x:c>
      <x:c r="I194" s="6" t="n">
        <x:v>91.71</x:v>
      </x:c>
      <x:c r="J194" s="9" t="n">
        <x:f>NOW()</x:f>
        <x:v>46274</x:v>
      </x:c>
      <x:c r="K194" t="str">
        <x:f>TEXT(H194,"mmm-yy")</x:f>
        <x:v>Mar-25</x:v>
      </x:c>
    </x:row>
    <x:row r="195" ht="15" hidden="0" customHeight="1">
      <x:c r="A195" t="str">
        <x:v>CUST009</x:v>
      </x:c>
      <x:c r="B195" t="str">
        <x:v>Michael Anderson</x:v>
      </x:c>
      <x:c r="C195" t="str">
        <x:v>South</x:v>
      </x:c>
      <x:c r="D195" t="str">
        <x:v>Furniture</x:v>
      </x:c>
      <x:c r="E195" s="6" t="n">
        <x:v>1184.25</x:v>
      </x:c>
      <x:c r="F195" t="n">
        <x:v>11</x:v>
      </x:c>
      <x:c r="G195" s="7" t="n">
        <x:v>0.2</x:v>
      </x:c>
      <x:c r="H195" s="8" t="n">
        <x:v>45742</x:v>
      </x:c>
      <x:c r="I195" s="6" t="n">
        <x:v>331.59</x:v>
      </x:c>
      <x:c r="J195" s="9" t="n">
        <x:f>NOW()</x:f>
        <x:v>46274</x:v>
      </x:c>
      <x:c r="K195" t="str">
        <x:f>TEXT(H195,"mmm-yy")</x:f>
        <x:v>Mar-25</x:v>
      </x:c>
    </x:row>
    <x:row r="196" ht="15" hidden="0" customHeight="1">
      <x:c r="A196" t="str">
        <x:v>CUST007</x:v>
      </x:c>
      <x:c r="B196" t="str">
        <x:v>James Davis</x:v>
      </x:c>
      <x:c r="C196" t="str">
        <x:v>South</x:v>
      </x:c>
      <x:c r="D196" t="str">
        <x:v>Clothing</x:v>
      </x:c>
      <x:c r="E196" s="6" t="n">
        <x:v>762.14</x:v>
      </x:c>
      <x:c r="F196" t="n">
        <x:v>9</x:v>
      </x:c>
      <x:c r="G196" s="7" t="n">
        <x:v>0</x:v>
      </x:c>
      <x:c r="H196" s="8" t="n">
        <x:v>45743</x:v>
      </x:c>
      <x:c r="I196" s="6" t="n">
        <x:v>381.07</x:v>
      </x:c>
      <x:c r="J196" s="9" t="n">
        <x:f>NOW()</x:f>
        <x:v>46274</x:v>
      </x:c>
      <x:c r="K196" t="str">
        <x:f>TEXT(H196,"mmm-yy")</x:f>
        <x:v>Mar-25</x:v>
      </x:c>
    </x:row>
    <x:row r="197" ht="15" hidden="0" customHeight="1">
      <x:c r="A197" t="str">
        <x:v>CUST030</x:v>
      </x:c>
      <x:c r="B197" t="str">
        <x:v>Linda Taylor</x:v>
      </x:c>
      <x:c r="C197" t="str">
        <x:v>North</x:v>
      </x:c>
      <x:c r="D197" t="str">
        <x:v>Books</x:v>
      </x:c>
      <x:c r="E197" s="6" t="n">
        <x:v>750.71</x:v>
      </x:c>
      <x:c r="F197" t="n">
        <x:v>10</x:v>
      </x:c>
      <x:c r="G197" s="7" t="n">
        <x:v>0.15</x:v>
      </x:c>
      <x:c r="H197" s="8" t="n">
        <x:v>45743</x:v>
      </x:c>
      <x:c r="I197" s="6" t="n">
        <x:v>255.24</x:v>
      </x:c>
      <x:c r="J197" s="9" t="n">
        <x:f>NOW()</x:f>
        <x:v>46274</x:v>
      </x:c>
      <x:c r="K197" t="str">
        <x:f>TEXT(H197,"mmm-yy")</x:f>
        <x:v>Mar-25</x:v>
      </x:c>
    </x:row>
    <x:row r="198" ht="15" hidden="0" customHeight="1">
      <x:c r="A198" t="str">
        <x:v>CUST018</x:v>
      </x:c>
      <x:c r="B198" t="str">
        <x:v>David Anderson</x:v>
      </x:c>
      <x:c r="C198" t="str">
        <x:v>Central</x:v>
      </x:c>
      <x:c r="D198" t="str">
        <x:v>Clothing</x:v>
      </x:c>
      <x:c r="E198" s="6" t="n">
        <x:v>1456.94</x:v>
      </x:c>
      <x:c r="F198" t="n">
        <x:v>14</x:v>
      </x:c>
      <x:c r="G198" s="7" t="n">
        <x:v>0.05</x:v>
      </x:c>
      <x:c r="H198" s="8" t="n">
        <x:v>45745</x:v>
      </x:c>
      <x:c r="I198" s="6" t="n">
        <x:v>692.05</x:v>
      </x:c>
      <x:c r="J198" s="9" t="n">
        <x:f>NOW()</x:f>
        <x:v>46274</x:v>
      </x:c>
      <x:c r="K198" t="str">
        <x:f>TEXT(H198,"mmm-yy")</x:f>
        <x:v>Mar-25</x:v>
      </x:c>
    </x:row>
    <x:row r="199" ht="15" hidden="0" customHeight="1">
      <x:c r="A199" t="str">
        <x:v>CUST008</x:v>
      </x:c>
      <x:c r="B199" t="str">
        <x:v>Emma Wilson</x:v>
      </x:c>
      <x:c r="C199" t="str">
        <x:v>East</x:v>
      </x:c>
      <x:c r="D199" t="str">
        <x:v>Furniture</x:v>
      </x:c>
      <x:c r="E199" s="6" t="n">
        <x:v>1093.38</x:v>
      </x:c>
      <x:c r="F199" t="n">
        <x:v>17</x:v>
      </x:c>
      <x:c r="G199" s="7" t="n">
        <x:v>0.1</x:v>
      </x:c>
      <x:c r="H199" s="8" t="n">
        <x:v>45745</x:v>
      </x:c>
      <x:c r="I199" s="6" t="n">
        <x:v>344.41</x:v>
      </x:c>
      <x:c r="J199" s="9" t="n">
        <x:f>NOW()</x:f>
        <x:v>46274</x:v>
      </x:c>
      <x:c r="K199" t="str">
        <x:f>TEXT(H199,"mmm-yy")</x:f>
        <x:v>Mar-25</x:v>
      </x:c>
    </x:row>
    <x:row r="200" ht="15" hidden="0" customHeight="1">
      <x:c r="A200" t="str">
        <x:v>CUST014</x:v>
      </x:c>
      <x:c r="B200" t="str">
        <x:v>Sarah Anderson</x:v>
      </x:c>
      <x:c r="C200" t="str">
        <x:v>West</x:v>
      </x:c>
      <x:c r="D200" t="str">
        <x:v>Clothing</x:v>
      </x:c>
      <x:c r="E200" s="6" t="n">
        <x:v>934.27</x:v>
      </x:c>
      <x:c r="F200" t="n">
        <x:v>8</x:v>
      </x:c>
      <x:c r="G200" s="7" t="n">
        <x:v>0.15</x:v>
      </x:c>
      <x:c r="H200" s="8" t="n">
        <x:v>45746</x:v>
      </x:c>
      <x:c r="I200" s="6" t="n">
        <x:v>397.06</x:v>
      </x:c>
      <x:c r="J200" s="9" t="n">
        <x:f>NOW()</x:f>
        <x:v>46274</x:v>
      </x:c>
      <x:c r="K200" t="str">
        <x:f>TEXT(H200,"mmm-yy")</x:f>
        <x:v>Mar-25</x:v>
      </x:c>
    </x:row>
    <x:row r="201" ht="15" hidden="0" customHeight="1">
      <x:c r="A201" t="str">
        <x:v>CUST024</x:v>
      </x:c>
      <x:c r="B201" t="str">
        <x:v>David Thomas</x:v>
      </x:c>
      <x:c r="C201" t="str">
        <x:v>Central</x:v>
      </x:c>
      <x:c r="D201" t="str">
        <x:v>Clothing</x:v>
      </x:c>
      <x:c r="E201" s="6" t="n">
        <x:v>1465.35</x:v>
      </x:c>
      <x:c r="F201" t="n">
        <x:v>8</x:v>
      </x:c>
      <x:c r="G201" s="7" t="n">
        <x:v>0.2</x:v>
      </x:c>
      <x:c r="H201" s="8" t="n">
        <x:v>45746</x:v>
      </x:c>
      <x:c r="I201" s="6" t="n">
        <x:v>586.14</x:v>
      </x:c>
      <x:c r="J201" s="9" t="n">
        <x:f>NOW()</x:f>
        <x:v>46274</x:v>
      </x:c>
      <x:c r="K201" t="str">
        <x:f>TEXT(H201,"mmm-yy")</x:f>
        <x:v>Mar-25</x:v>
      </x:c>
    </x:row>
    <x:row r="202" ht="15" hidden="0" customHeight="1">
      <x:c r="A202" t="str">
        <x:v>CUST028</x:v>
      </x:c>
      <x:c r="B202" t="str">
        <x:v>Robert Anderson</x:v>
      </x:c>
      <x:c r="C202" t="str">
        <x:v>South</x:v>
      </x:c>
      <x:c r="D202" t="str">
        <x:v>Office Supplies</x:v>
      </x:c>
      <x:c r="E202" s="6" t="n">
        <x:v>740.8</x:v>
      </x:c>
      <x:c r="F202" t="n">
        <x:v>3</x:v>
      </x:c>
      <x:c r="G202" s="7" t="n">
        <x:v>0</x:v>
      </x:c>
      <x:c r="H202" s="8" t="n">
        <x:v>45749</x:v>
      </x:c>
      <x:c r="I202" s="6" t="n">
        <x:v>333.36</x:v>
      </x:c>
      <x:c r="J202" s="9" t="n">
        <x:f>NOW()</x:f>
        <x:v>46274</x:v>
      </x:c>
      <x:c r="K202" t="str">
        <x:f>TEXT(H202,"mmm-yy")</x:f>
        <x:v>Apr-25</x:v>
      </x:c>
    </x:row>
    <x:row r="203" ht="15" hidden="0" customHeight="1">
      <x:c r="A203" t="str">
        <x:v>CUST015</x:v>
      </x:c>
      <x:c r="B203" t="str">
        <x:v>Sarah Anderson</x:v>
      </x:c>
      <x:c r="C203" t="str">
        <x:v>West</x:v>
      </x:c>
      <x:c r="D203" t="str">
        <x:v>Office Supplies</x:v>
      </x:c>
      <x:c r="E203" s="6" t="n">
        <x:v>545.44</x:v>
      </x:c>
      <x:c r="F203" t="n">
        <x:v>17</x:v>
      </x:c>
      <x:c r="G203" s="7" t="n">
        <x:v>0</x:v>
      </x:c>
      <x:c r="H203" s="8" t="n">
        <x:v>45752</x:v>
      </x:c>
      <x:c r="I203" s="6" t="n">
        <x:v>245.45</x:v>
      </x:c>
      <x:c r="J203" s="9" t="n">
        <x:f>NOW()</x:f>
        <x:v>46274</x:v>
      </x:c>
      <x:c r="K203" t="str">
        <x:f>TEXT(H203,"mmm-yy")</x:f>
        <x:v>Apr-25</x:v>
      </x:c>
    </x:row>
    <x:row r="204" ht="15" hidden="0" customHeight="1">
      <x:c r="A204" t="str">
        <x:v>CUST010</x:v>
      </x:c>
      <x:c r="B204" t="str">
        <x:v>David Thomas</x:v>
      </x:c>
      <x:c r="C204" t="str">
        <x:v>East</x:v>
      </x:c>
      <x:c r="D204" t="str">
        <x:v>Books</x:v>
      </x:c>
      <x:c r="E204" s="6" t="n">
        <x:v>997.61</x:v>
      </x:c>
      <x:c r="F204" t="n">
        <x:v>8</x:v>
      </x:c>
      <x:c r="G204" s="7" t="n">
        <x:v>0.05</x:v>
      </x:c>
      <x:c r="H204" s="8" t="n">
        <x:v>45752</x:v>
      </x:c>
      <x:c r="I204" s="6" t="n">
        <x:v>379.09</x:v>
      </x:c>
      <x:c r="J204" s="9" t="n">
        <x:f>NOW()</x:f>
        <x:v>46274</x:v>
      </x:c>
      <x:c r="K204" t="str">
        <x:f>TEXT(H204,"mmm-yy")</x:f>
        <x:v>Apr-25</x:v>
      </x:c>
    </x:row>
    <x:row r="205" ht="15" hidden="0" customHeight="1">
      <x:c r="A205" t="str">
        <x:v>CUST016</x:v>
      </x:c>
      <x:c r="B205" t="str">
        <x:v>David Thomas</x:v>
      </x:c>
      <x:c r="C205" t="str">
        <x:v>South</x:v>
      </x:c>
      <x:c r="D205" t="str">
        <x:v>Clothing</x:v>
      </x:c>
      <x:c r="E205" s="6" t="n">
        <x:v>928.32</x:v>
      </x:c>
      <x:c r="F205" t="n">
        <x:v>2</x:v>
      </x:c>
      <x:c r="G205" s="7" t="n">
        <x:v>0.05</x:v>
      </x:c>
      <x:c r="H205" s="8" t="n">
        <x:v>45754</x:v>
      </x:c>
      <x:c r="I205" s="6" t="n">
        <x:v>440.95</x:v>
      </x:c>
      <x:c r="J205" s="9" t="n">
        <x:f>NOW()</x:f>
        <x:v>46274</x:v>
      </x:c>
      <x:c r="K205" t="str">
        <x:f>TEXT(H205,"mmm-yy")</x:f>
        <x:v>Apr-25</x:v>
      </x:c>
    </x:row>
  </x:sheetData>
  <x:pageMargins left="0.7" right="0.7" top="0.75" bottom="0.75" header="0.3" footer="0.3"/>
  <x:tableParts count="1">
    <x:tablePart xmlns:r="http://schemas.openxmlformats.org/officeDocument/2006/relationships" r:id="Rba9e56b5332b409b"/>
  </x:tableParts>
</x:worksheet>
</file>