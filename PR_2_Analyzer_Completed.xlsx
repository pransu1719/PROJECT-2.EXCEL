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tud\Downloads\"/>
    </mc:Choice>
  </mc:AlternateContent>
  <bookViews>
    <workbookView xWindow="0" yWindow="0" windowWidth="23040" windowHeight="9192" tabRatio="500" firstSheet="6" activeTab="7"/>
  </bookViews>
  <sheets>
    <sheet name="Project Instructions" sheetId="1" r:id="rId1"/>
    <sheet name="Dataset" sheetId="2" r:id="rId2"/>
    <sheet name="Dashboard" sheetId="3" r:id="rId3"/>
    <sheet name="High-Value Customers" sheetId="4" r:id="rId4"/>
    <sheet name="Monthly Trend" sheetId="5" r:id="rId5"/>
    <sheet name="What-If Analysis" sheetId="6" r:id="rId6"/>
    <sheet name="Regression Analysis" sheetId="7" r:id="rId7"/>
    <sheet name="Descriptive Statistics" sheetId="8" r:id="rId8"/>
    <sheet name="Pivot Summary" sheetId="9" r:id="rId9"/>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F21" i="9" l="1"/>
  <c r="E21" i="9"/>
  <c r="D21" i="9"/>
  <c r="C21" i="9"/>
  <c r="B21" i="9"/>
  <c r="G21" i="9" s="1"/>
  <c r="F20" i="9"/>
  <c r="E20" i="9"/>
  <c r="D20" i="9"/>
  <c r="C20" i="9"/>
  <c r="B20" i="9"/>
  <c r="G20" i="9" s="1"/>
  <c r="F19" i="9"/>
  <c r="E19" i="9"/>
  <c r="D19" i="9"/>
  <c r="C19" i="9"/>
  <c r="B19" i="9"/>
  <c r="G19" i="9" s="1"/>
  <c r="F18" i="9"/>
  <c r="E18" i="9"/>
  <c r="D18" i="9"/>
  <c r="C18" i="9"/>
  <c r="B18" i="9"/>
  <c r="G18" i="9" s="1"/>
  <c r="F17" i="9"/>
  <c r="F22" i="9" s="1"/>
  <c r="E17" i="9"/>
  <c r="E22" i="9" s="1"/>
  <c r="D17" i="9"/>
  <c r="D22" i="9" s="1"/>
  <c r="C17" i="9"/>
  <c r="C22" i="9" s="1"/>
  <c r="B17" i="9"/>
  <c r="B22" i="9" s="1"/>
  <c r="F11" i="9"/>
  <c r="E11" i="9"/>
  <c r="D11" i="9"/>
  <c r="C11" i="9"/>
  <c r="B11" i="9"/>
  <c r="F10" i="9"/>
  <c r="E10" i="9"/>
  <c r="D10" i="9"/>
  <c r="C10" i="9"/>
  <c r="B10" i="9"/>
  <c r="G10" i="9" s="1"/>
  <c r="F9" i="9"/>
  <c r="E9" i="9"/>
  <c r="D9" i="9"/>
  <c r="C9" i="9"/>
  <c r="B9" i="9"/>
  <c r="G9" i="9" s="1"/>
  <c r="G8" i="9"/>
  <c r="F8" i="9"/>
  <c r="E8" i="9"/>
  <c r="D8" i="9"/>
  <c r="C8" i="9"/>
  <c r="B8" i="9"/>
  <c r="F7" i="9"/>
  <c r="F12" i="9" s="1"/>
  <c r="E7" i="9"/>
  <c r="E12" i="9" s="1"/>
  <c r="D7" i="9"/>
  <c r="D12" i="9" s="1"/>
  <c r="C7" i="9"/>
  <c r="C12" i="9" s="1"/>
  <c r="B7" i="9"/>
  <c r="B12" i="9" s="1"/>
  <c r="E16" i="8"/>
  <c r="D16" i="8"/>
  <c r="C16" i="8"/>
  <c r="B16" i="8"/>
  <c r="E15" i="8"/>
  <c r="D15" i="8"/>
  <c r="C15" i="8"/>
  <c r="B15" i="8"/>
  <c r="E14" i="8"/>
  <c r="D14" i="8"/>
  <c r="C14" i="8"/>
  <c r="B14" i="8"/>
  <c r="E13" i="8"/>
  <c r="D13" i="8"/>
  <c r="C13" i="8"/>
  <c r="B13" i="8"/>
  <c r="E12" i="8"/>
  <c r="D12" i="8"/>
  <c r="C12" i="8"/>
  <c r="B12" i="8"/>
  <c r="E11" i="8"/>
  <c r="D11" i="8"/>
  <c r="C11" i="8"/>
  <c r="B11" i="8"/>
  <c r="E10" i="8"/>
  <c r="D10" i="8"/>
  <c r="C10" i="8"/>
  <c r="B10" i="8"/>
  <c r="E9" i="8"/>
  <c r="D9" i="8"/>
  <c r="C9" i="8"/>
  <c r="B9" i="8"/>
  <c r="E8" i="8"/>
  <c r="D8" i="8"/>
  <c r="C8" i="8"/>
  <c r="B8" i="8"/>
  <c r="E7" i="8"/>
  <c r="D7" i="8"/>
  <c r="C7" i="8"/>
  <c r="B7" i="8"/>
  <c r="E6" i="8"/>
  <c r="D6" i="8"/>
  <c r="C6" i="8"/>
  <c r="B6" i="8"/>
  <c r="E5" i="8"/>
  <c r="D5" i="8"/>
  <c r="C5" i="8"/>
  <c r="B5" i="8"/>
  <c r="E4" i="8"/>
  <c r="D4" i="8"/>
  <c r="C4" i="8"/>
  <c r="B4" i="8"/>
  <c r="C18" i="7"/>
  <c r="C13" i="7"/>
  <c r="C16" i="7" s="1"/>
  <c r="C12" i="7"/>
  <c r="C8" i="7"/>
  <c r="C7" i="7"/>
  <c r="C5" i="7"/>
  <c r="C4" i="7"/>
  <c r="C6" i="7" s="1"/>
  <c r="D13" i="7" s="1"/>
  <c r="E13" i="7" s="1"/>
  <c r="F13" i="7" s="1"/>
  <c r="D22" i="6"/>
  <c r="E22" i="6" s="1"/>
  <c r="C22" i="6"/>
  <c r="D21" i="6"/>
  <c r="E21" i="6" s="1"/>
  <c r="C21" i="6"/>
  <c r="C20" i="6"/>
  <c r="D20" i="6" s="1"/>
  <c r="E20" i="6" s="1"/>
  <c r="E19" i="6"/>
  <c r="D19" i="6"/>
  <c r="C19" i="6"/>
  <c r="C18" i="6"/>
  <c r="D18" i="6" s="1"/>
  <c r="E18" i="6" s="1"/>
  <c r="C17" i="6"/>
  <c r="D17" i="6" s="1"/>
  <c r="E17" i="6" s="1"/>
  <c r="C16" i="6"/>
  <c r="D16" i="6" s="1"/>
  <c r="E16" i="6" s="1"/>
  <c r="D15" i="6"/>
  <c r="E15" i="6" s="1"/>
  <c r="C15" i="6"/>
  <c r="C9" i="6"/>
  <c r="C10" i="6" s="1"/>
  <c r="C8" i="6"/>
  <c r="C5" i="6"/>
  <c r="C4" i="6"/>
  <c r="C3" i="6"/>
  <c r="A5" i="5"/>
  <c r="F4" i="5"/>
  <c r="D4" i="5"/>
  <c r="A4" i="5"/>
  <c r="C4" i="5" s="1"/>
  <c r="J1" i="5"/>
  <c r="E35" i="4"/>
  <c r="A35" i="4"/>
  <c r="D35" i="4" s="1"/>
  <c r="E34" i="4"/>
  <c r="A34" i="4"/>
  <c r="D34" i="4" s="1"/>
  <c r="E33" i="4"/>
  <c r="A33" i="4"/>
  <c r="D33" i="4" s="1"/>
  <c r="E32" i="4"/>
  <c r="A32" i="4"/>
  <c r="D32" i="4" s="1"/>
  <c r="E31" i="4"/>
  <c r="A31" i="4"/>
  <c r="D31" i="4" s="1"/>
  <c r="E30" i="4"/>
  <c r="A30" i="4"/>
  <c r="D30" i="4" s="1"/>
  <c r="E29" i="4"/>
  <c r="A29" i="4"/>
  <c r="D29" i="4" s="1"/>
  <c r="E28" i="4"/>
  <c r="A28" i="4"/>
  <c r="D28" i="4" s="1"/>
  <c r="E27" i="4"/>
  <c r="A27" i="4"/>
  <c r="D27" i="4" s="1"/>
  <c r="E26" i="4"/>
  <c r="A26" i="4"/>
  <c r="D26" i="4" s="1"/>
  <c r="E25" i="4"/>
  <c r="A25" i="4"/>
  <c r="D25" i="4" s="1"/>
  <c r="E24" i="4"/>
  <c r="A24" i="4"/>
  <c r="D24" i="4" s="1"/>
  <c r="E23" i="4"/>
  <c r="A23" i="4"/>
  <c r="D23" i="4" s="1"/>
  <c r="E22" i="4"/>
  <c r="A22" i="4"/>
  <c r="D22" i="4" s="1"/>
  <c r="E21" i="4"/>
  <c r="A21" i="4"/>
  <c r="D21" i="4" s="1"/>
  <c r="E20" i="4"/>
  <c r="A20" i="4"/>
  <c r="D20" i="4" s="1"/>
  <c r="E19" i="4"/>
  <c r="A19" i="4"/>
  <c r="D19" i="4" s="1"/>
  <c r="E18" i="4"/>
  <c r="A18" i="4"/>
  <c r="D18" i="4" s="1"/>
  <c r="E17" i="4"/>
  <c r="A17" i="4"/>
  <c r="D17" i="4" s="1"/>
  <c r="E16" i="4"/>
  <c r="A16" i="4"/>
  <c r="D16" i="4" s="1"/>
  <c r="E15" i="4"/>
  <c r="A15" i="4"/>
  <c r="D15" i="4" s="1"/>
  <c r="E14" i="4"/>
  <c r="A14" i="4"/>
  <c r="D14" i="4" s="1"/>
  <c r="E13" i="4"/>
  <c r="A13" i="4"/>
  <c r="D13" i="4" s="1"/>
  <c r="E12" i="4"/>
  <c r="A12" i="4"/>
  <c r="D12" i="4" s="1"/>
  <c r="E11" i="4"/>
  <c r="A11" i="4"/>
  <c r="D11" i="4" s="1"/>
  <c r="E10" i="4"/>
  <c r="A10" i="4"/>
  <c r="D10" i="4" s="1"/>
  <c r="E9" i="4"/>
  <c r="A9" i="4"/>
  <c r="D9" i="4" s="1"/>
  <c r="E8" i="4"/>
  <c r="A8" i="4"/>
  <c r="D8" i="4" s="1"/>
  <c r="E7" i="4"/>
  <c r="A7" i="4"/>
  <c r="D7" i="4" s="1"/>
  <c r="E6" i="4"/>
  <c r="A6" i="4"/>
  <c r="D6" i="4" s="1"/>
  <c r="I15" i="3"/>
  <c r="I14" i="3"/>
  <c r="I13" i="3"/>
  <c r="I12" i="3"/>
  <c r="I11" i="3"/>
  <c r="I10" i="3"/>
  <c r="I9" i="3"/>
  <c r="I8" i="3"/>
  <c r="I7" i="3"/>
  <c r="I6" i="3"/>
  <c r="F5" i="3"/>
  <c r="E5" i="3"/>
  <c r="D5" i="3"/>
  <c r="C5" i="3"/>
  <c r="B5" i="3"/>
  <c r="A5" i="3"/>
  <c r="L201" i="2"/>
  <c r="J201" i="2"/>
  <c r="L200" i="2"/>
  <c r="J200" i="2"/>
  <c r="L199" i="2"/>
  <c r="J199" i="2"/>
  <c r="L198" i="2"/>
  <c r="J198" i="2"/>
  <c r="L197" i="2"/>
  <c r="J197" i="2"/>
  <c r="L196" i="2"/>
  <c r="J196" i="2"/>
  <c r="L195" i="2"/>
  <c r="J195" i="2"/>
  <c r="L194" i="2"/>
  <c r="J194" i="2"/>
  <c r="L193" i="2"/>
  <c r="J193" i="2"/>
  <c r="L192" i="2"/>
  <c r="J192" i="2"/>
  <c r="L191" i="2"/>
  <c r="J191" i="2"/>
  <c r="L190" i="2"/>
  <c r="J190" i="2"/>
  <c r="L189" i="2"/>
  <c r="J189" i="2"/>
  <c r="L188" i="2"/>
  <c r="J188" i="2"/>
  <c r="L187" i="2"/>
  <c r="J187" i="2"/>
  <c r="L186" i="2"/>
  <c r="J186" i="2"/>
  <c r="L185" i="2"/>
  <c r="J185" i="2"/>
  <c r="L184" i="2"/>
  <c r="J184" i="2"/>
  <c r="L183" i="2"/>
  <c r="J183" i="2"/>
  <c r="L182" i="2"/>
  <c r="J182" i="2"/>
  <c r="L181" i="2"/>
  <c r="J181" i="2"/>
  <c r="L180" i="2"/>
  <c r="J180" i="2"/>
  <c r="L179" i="2"/>
  <c r="J179" i="2"/>
  <c r="L178" i="2"/>
  <c r="J178" i="2"/>
  <c r="L177" i="2"/>
  <c r="J177" i="2"/>
  <c r="L176" i="2"/>
  <c r="J176" i="2"/>
  <c r="L175" i="2"/>
  <c r="J175" i="2"/>
  <c r="L174" i="2"/>
  <c r="J174" i="2"/>
  <c r="L173" i="2"/>
  <c r="J173" i="2"/>
  <c r="L172" i="2"/>
  <c r="J172" i="2"/>
  <c r="L171" i="2"/>
  <c r="J171" i="2"/>
  <c r="L170" i="2"/>
  <c r="J170" i="2"/>
  <c r="L169" i="2"/>
  <c r="J169" i="2"/>
  <c r="L168" i="2"/>
  <c r="J168" i="2"/>
  <c r="L167" i="2"/>
  <c r="J167" i="2"/>
  <c r="L166" i="2"/>
  <c r="J166" i="2"/>
  <c r="L165" i="2"/>
  <c r="J165" i="2"/>
  <c r="L164" i="2"/>
  <c r="J164" i="2"/>
  <c r="L163" i="2"/>
  <c r="J163" i="2"/>
  <c r="L162" i="2"/>
  <c r="J162" i="2"/>
  <c r="L161" i="2"/>
  <c r="J161" i="2"/>
  <c r="L160" i="2"/>
  <c r="J160" i="2"/>
  <c r="L159" i="2"/>
  <c r="J159" i="2"/>
  <c r="L158" i="2"/>
  <c r="J158" i="2"/>
  <c r="L157" i="2"/>
  <c r="J157" i="2"/>
  <c r="L156" i="2"/>
  <c r="J156" i="2"/>
  <c r="L155" i="2"/>
  <c r="J155" i="2"/>
  <c r="L154" i="2"/>
  <c r="J154" i="2"/>
  <c r="L153" i="2"/>
  <c r="J153" i="2"/>
  <c r="L152" i="2"/>
  <c r="J152" i="2"/>
  <c r="L151" i="2"/>
  <c r="J151" i="2"/>
  <c r="L150" i="2"/>
  <c r="J150" i="2"/>
  <c r="L149" i="2"/>
  <c r="J149" i="2"/>
  <c r="L148" i="2"/>
  <c r="J148" i="2"/>
  <c r="L147" i="2"/>
  <c r="J147" i="2"/>
  <c r="L146" i="2"/>
  <c r="J146" i="2"/>
  <c r="L145" i="2"/>
  <c r="J145" i="2"/>
  <c r="L144" i="2"/>
  <c r="J144" i="2"/>
  <c r="L143" i="2"/>
  <c r="J143" i="2"/>
  <c r="L142" i="2"/>
  <c r="J142" i="2"/>
  <c r="L141" i="2"/>
  <c r="J141" i="2"/>
  <c r="L140" i="2"/>
  <c r="J140" i="2"/>
  <c r="L139" i="2"/>
  <c r="J139" i="2"/>
  <c r="L138" i="2"/>
  <c r="J138" i="2"/>
  <c r="L137" i="2"/>
  <c r="J137" i="2"/>
  <c r="L136" i="2"/>
  <c r="J136" i="2"/>
  <c r="L135" i="2"/>
  <c r="J135" i="2"/>
  <c r="L134" i="2"/>
  <c r="J134" i="2"/>
  <c r="L133" i="2"/>
  <c r="J133" i="2"/>
  <c r="L132" i="2"/>
  <c r="J132" i="2"/>
  <c r="L131" i="2"/>
  <c r="J131" i="2"/>
  <c r="L130" i="2"/>
  <c r="J130" i="2"/>
  <c r="L129" i="2"/>
  <c r="J129" i="2"/>
  <c r="L128" i="2"/>
  <c r="J128" i="2"/>
  <c r="L127" i="2"/>
  <c r="J127" i="2"/>
  <c r="L126" i="2"/>
  <c r="J126" i="2"/>
  <c r="L125" i="2"/>
  <c r="J125" i="2"/>
  <c r="L124" i="2"/>
  <c r="J124" i="2"/>
  <c r="L123" i="2"/>
  <c r="J123" i="2"/>
  <c r="L122" i="2"/>
  <c r="J122" i="2"/>
  <c r="L121" i="2"/>
  <c r="J121" i="2"/>
  <c r="L120" i="2"/>
  <c r="J120" i="2"/>
  <c r="L119" i="2"/>
  <c r="J119" i="2"/>
  <c r="L118" i="2"/>
  <c r="J118" i="2"/>
  <c r="L117" i="2"/>
  <c r="J117" i="2"/>
  <c r="L116" i="2"/>
  <c r="J116" i="2"/>
  <c r="L115" i="2"/>
  <c r="J115" i="2"/>
  <c r="L114" i="2"/>
  <c r="J114" i="2"/>
  <c r="L113" i="2"/>
  <c r="J113" i="2"/>
  <c r="L112" i="2"/>
  <c r="J112" i="2"/>
  <c r="L111" i="2"/>
  <c r="J111" i="2"/>
  <c r="L110" i="2"/>
  <c r="J110" i="2"/>
  <c r="L109" i="2"/>
  <c r="J109" i="2"/>
  <c r="L108" i="2"/>
  <c r="J108" i="2"/>
  <c r="L107" i="2"/>
  <c r="J107" i="2"/>
  <c r="L106" i="2"/>
  <c r="J106" i="2"/>
  <c r="L105" i="2"/>
  <c r="J105" i="2"/>
  <c r="L104" i="2"/>
  <c r="J104" i="2"/>
  <c r="L103" i="2"/>
  <c r="J103" i="2"/>
  <c r="L102" i="2"/>
  <c r="J102" i="2"/>
  <c r="L101" i="2"/>
  <c r="J101" i="2"/>
  <c r="L100" i="2"/>
  <c r="J100" i="2"/>
  <c r="L99" i="2"/>
  <c r="J99" i="2"/>
  <c r="L98" i="2"/>
  <c r="J98" i="2"/>
  <c r="L97" i="2"/>
  <c r="J97" i="2"/>
  <c r="L96" i="2"/>
  <c r="J96" i="2"/>
  <c r="L95" i="2"/>
  <c r="J95" i="2"/>
  <c r="L94" i="2"/>
  <c r="J94" i="2"/>
  <c r="L93" i="2"/>
  <c r="J93" i="2"/>
  <c r="L92" i="2"/>
  <c r="J92" i="2"/>
  <c r="L91" i="2"/>
  <c r="J91" i="2"/>
  <c r="L90" i="2"/>
  <c r="J90" i="2"/>
  <c r="L89" i="2"/>
  <c r="J89" i="2"/>
  <c r="L88" i="2"/>
  <c r="J88" i="2"/>
  <c r="L87" i="2"/>
  <c r="J87" i="2"/>
  <c r="L86" i="2"/>
  <c r="J86" i="2"/>
  <c r="L85" i="2"/>
  <c r="J85" i="2"/>
  <c r="L84" i="2"/>
  <c r="J84" i="2"/>
  <c r="L83" i="2"/>
  <c r="J83" i="2"/>
  <c r="L82" i="2"/>
  <c r="J82" i="2"/>
  <c r="L81" i="2"/>
  <c r="J81" i="2"/>
  <c r="L80" i="2"/>
  <c r="J80" i="2"/>
  <c r="L79" i="2"/>
  <c r="J79" i="2"/>
  <c r="L78" i="2"/>
  <c r="J78" i="2"/>
  <c r="L77" i="2"/>
  <c r="J77" i="2"/>
  <c r="L76" i="2"/>
  <c r="J76" i="2"/>
  <c r="L75" i="2"/>
  <c r="J75" i="2"/>
  <c r="L74" i="2"/>
  <c r="J74" i="2"/>
  <c r="L73" i="2"/>
  <c r="J73" i="2"/>
  <c r="L72" i="2"/>
  <c r="J72" i="2"/>
  <c r="L71" i="2"/>
  <c r="J71" i="2"/>
  <c r="L70" i="2"/>
  <c r="J70" i="2"/>
  <c r="L69" i="2"/>
  <c r="J69" i="2"/>
  <c r="L68" i="2"/>
  <c r="J68" i="2"/>
  <c r="L67" i="2"/>
  <c r="J67" i="2"/>
  <c r="L66" i="2"/>
  <c r="J66" i="2"/>
  <c r="L65" i="2"/>
  <c r="J65" i="2"/>
  <c r="L64" i="2"/>
  <c r="J64" i="2"/>
  <c r="L63" i="2"/>
  <c r="J63" i="2"/>
  <c r="L62" i="2"/>
  <c r="J62" i="2"/>
  <c r="L61" i="2"/>
  <c r="J61" i="2"/>
  <c r="L60" i="2"/>
  <c r="J60" i="2"/>
  <c r="L59" i="2"/>
  <c r="J59" i="2"/>
  <c r="L58" i="2"/>
  <c r="J58" i="2"/>
  <c r="L57" i="2"/>
  <c r="J57" i="2"/>
  <c r="L56" i="2"/>
  <c r="J56" i="2"/>
  <c r="L55" i="2"/>
  <c r="J55" i="2"/>
  <c r="L54" i="2"/>
  <c r="J54" i="2"/>
  <c r="L53" i="2"/>
  <c r="J53" i="2"/>
  <c r="L52" i="2"/>
  <c r="J52" i="2"/>
  <c r="L51" i="2"/>
  <c r="J51" i="2"/>
  <c r="L50" i="2"/>
  <c r="J50" i="2"/>
  <c r="L49" i="2"/>
  <c r="J49" i="2"/>
  <c r="L48" i="2"/>
  <c r="J48" i="2"/>
  <c r="L47" i="2"/>
  <c r="J47" i="2"/>
  <c r="L46" i="2"/>
  <c r="J46" i="2"/>
  <c r="L45" i="2"/>
  <c r="J45" i="2"/>
  <c r="L44" i="2"/>
  <c r="J44" i="2"/>
  <c r="L43" i="2"/>
  <c r="J43" i="2"/>
  <c r="K43" i="2" s="1"/>
  <c r="L42" i="2"/>
  <c r="J42" i="2"/>
  <c r="L41" i="2"/>
  <c r="J41" i="2"/>
  <c r="L40" i="2"/>
  <c r="J40" i="2"/>
  <c r="L39" i="2"/>
  <c r="J39" i="2"/>
  <c r="L38" i="2"/>
  <c r="J38" i="2"/>
  <c r="L37" i="2"/>
  <c r="J37" i="2"/>
  <c r="L36" i="2"/>
  <c r="J36" i="2"/>
  <c r="L35" i="2"/>
  <c r="J35" i="2"/>
  <c r="K35" i="2" s="1"/>
  <c r="L34" i="2"/>
  <c r="J34" i="2"/>
  <c r="L33" i="2"/>
  <c r="J33" i="2"/>
  <c r="L32" i="2"/>
  <c r="J32" i="2"/>
  <c r="L31" i="2"/>
  <c r="J31" i="2"/>
  <c r="L30" i="2"/>
  <c r="J30" i="2"/>
  <c r="L29" i="2"/>
  <c r="J29" i="2"/>
  <c r="L28" i="2"/>
  <c r="J28" i="2"/>
  <c r="L27" i="2"/>
  <c r="J27" i="2"/>
  <c r="K27" i="2" s="1"/>
  <c r="L26" i="2"/>
  <c r="J26" i="2"/>
  <c r="L25" i="2"/>
  <c r="J25" i="2"/>
  <c r="L24" i="2"/>
  <c r="J24" i="2"/>
  <c r="L23" i="2"/>
  <c r="J23" i="2"/>
  <c r="L22" i="2"/>
  <c r="J22" i="2"/>
  <c r="L21" i="2"/>
  <c r="J21" i="2"/>
  <c r="L20" i="2"/>
  <c r="J20" i="2"/>
  <c r="L19" i="2"/>
  <c r="J19" i="2"/>
  <c r="K19" i="2" s="1"/>
  <c r="L18" i="2"/>
  <c r="J18" i="2"/>
  <c r="L17" i="2"/>
  <c r="J17" i="2"/>
  <c r="L16" i="2"/>
  <c r="J16" i="2"/>
  <c r="L15" i="2"/>
  <c r="J15" i="2"/>
  <c r="L14" i="2"/>
  <c r="J14" i="2"/>
  <c r="L13" i="2"/>
  <c r="J13" i="2"/>
  <c r="L12" i="2"/>
  <c r="J12" i="2"/>
  <c r="L11" i="2"/>
  <c r="J11" i="2"/>
  <c r="K11" i="2" s="1"/>
  <c r="L10" i="2"/>
  <c r="J10" i="2"/>
  <c r="L9" i="2"/>
  <c r="J9" i="2"/>
  <c r="L8" i="2"/>
  <c r="J8" i="2"/>
  <c r="L7" i="2"/>
  <c r="J7" i="2"/>
  <c r="L6" i="2"/>
  <c r="J6" i="2"/>
  <c r="K6" i="2" s="1"/>
  <c r="L5" i="2"/>
  <c r="J5" i="2"/>
  <c r="L4" i="2"/>
  <c r="J4" i="2"/>
  <c r="L3" i="2"/>
  <c r="J3" i="2"/>
  <c r="K95" i="2" s="1"/>
  <c r="L2" i="2"/>
  <c r="J2" i="2"/>
  <c r="K200" i="2" s="1"/>
  <c r="K74" i="2" l="1"/>
  <c r="K81" i="2"/>
  <c r="K170" i="2"/>
  <c r="K26" i="2"/>
  <c r="K71" i="2"/>
  <c r="K103" i="2"/>
  <c r="K135" i="2"/>
  <c r="K167" i="2"/>
  <c r="K199" i="2"/>
  <c r="K3" i="2"/>
  <c r="K99" i="2"/>
  <c r="K110" i="2"/>
  <c r="K113" i="2"/>
  <c r="K120" i="2"/>
  <c r="K30" i="2"/>
  <c r="K50" i="2"/>
  <c r="K54" i="2"/>
  <c r="K57" i="2"/>
  <c r="K64" i="2"/>
  <c r="K75" i="2"/>
  <c r="K82" i="2"/>
  <c r="K86" i="2"/>
  <c r="K89" i="2"/>
  <c r="K96" i="2"/>
  <c r="K107" i="2"/>
  <c r="K114" i="2"/>
  <c r="K118" i="2"/>
  <c r="K121" i="2"/>
  <c r="K128" i="2"/>
  <c r="K139" i="2"/>
  <c r="K146" i="2"/>
  <c r="K150" i="2"/>
  <c r="K153" i="2"/>
  <c r="K160" i="2"/>
  <c r="K164" i="2"/>
  <c r="K171" i="2"/>
  <c r="K178" i="2"/>
  <c r="K182" i="2"/>
  <c r="K185" i="2"/>
  <c r="K192" i="2"/>
  <c r="K196" i="2"/>
  <c r="G11" i="9"/>
  <c r="K106" i="2"/>
  <c r="K195" i="2"/>
  <c r="K10" i="2"/>
  <c r="K16" i="2"/>
  <c r="K4" i="2"/>
  <c r="K34" i="2"/>
  <c r="K58" i="2"/>
  <c r="K62" i="2"/>
  <c r="K65" i="2"/>
  <c r="K72" i="2"/>
  <c r="K90" i="2"/>
  <c r="K94" i="2"/>
  <c r="K97" i="2"/>
  <c r="K104" i="2"/>
  <c r="K122" i="2"/>
  <c r="K126" i="2"/>
  <c r="K129" i="2"/>
  <c r="K136" i="2"/>
  <c r="K147" i="2"/>
  <c r="K154" i="2"/>
  <c r="K158" i="2"/>
  <c r="K161" i="2"/>
  <c r="K168" i="2"/>
  <c r="K172" i="2"/>
  <c r="K179" i="2"/>
  <c r="K186" i="2"/>
  <c r="K190" i="2"/>
  <c r="K193" i="2"/>
  <c r="E5" i="5"/>
  <c r="D5" i="5"/>
  <c r="C5" i="5"/>
  <c r="F5" i="5" s="1"/>
  <c r="B5" i="5"/>
  <c r="A6" i="5"/>
  <c r="K131" i="2"/>
  <c r="K40" i="2"/>
  <c r="K47" i="2"/>
  <c r="K79" i="2"/>
  <c r="K111" i="2"/>
  <c r="K143" i="2"/>
  <c r="K175" i="2"/>
  <c r="K14" i="2"/>
  <c r="K51" i="2"/>
  <c r="K83" i="2"/>
  <c r="K115" i="2"/>
  <c r="K156" i="2"/>
  <c r="K148" i="2"/>
  <c r="K140" i="2"/>
  <c r="K132" i="2"/>
  <c r="K124" i="2"/>
  <c r="K116" i="2"/>
  <c r="K108" i="2"/>
  <c r="K100" i="2"/>
  <c r="K92" i="2"/>
  <c r="K84" i="2"/>
  <c r="K76" i="2"/>
  <c r="K68" i="2"/>
  <c r="K60" i="2"/>
  <c r="K52" i="2"/>
  <c r="K44" i="2"/>
  <c r="K36" i="2"/>
  <c r="K28" i="2"/>
  <c r="K20" i="2"/>
  <c r="K12" i="2"/>
  <c r="K49" i="2"/>
  <c r="K41" i="2"/>
  <c r="K33" i="2"/>
  <c r="K25" i="2"/>
  <c r="K17" i="2"/>
  <c r="K9" i="2"/>
  <c r="K197" i="2"/>
  <c r="K189" i="2"/>
  <c r="K181" i="2"/>
  <c r="K173" i="2"/>
  <c r="K165" i="2"/>
  <c r="K157" i="2"/>
  <c r="K149" i="2"/>
  <c r="K141" i="2"/>
  <c r="K133" i="2"/>
  <c r="K125" i="2"/>
  <c r="K117" i="2"/>
  <c r="K109" i="2"/>
  <c r="K101" i="2"/>
  <c r="K93" i="2"/>
  <c r="K85" i="2"/>
  <c r="K77" i="2"/>
  <c r="K69" i="2"/>
  <c r="K61" i="2"/>
  <c r="K53" i="2"/>
  <c r="K45" i="2"/>
  <c r="K37" i="2"/>
  <c r="K29" i="2"/>
  <c r="K21" i="2"/>
  <c r="K2" i="2"/>
  <c r="K24" i="2"/>
  <c r="K31" i="2"/>
  <c r="K38" i="2"/>
  <c r="K55" i="2"/>
  <c r="K87" i="2"/>
  <c r="K119" i="2"/>
  <c r="K151" i="2"/>
  <c r="K183" i="2"/>
  <c r="K46" i="2"/>
  <c r="K56" i="2"/>
  <c r="K138" i="2"/>
  <c r="K142" i="2"/>
  <c r="K145" i="2"/>
  <c r="K152" i="2"/>
  <c r="K13" i="2"/>
  <c r="K23" i="2"/>
  <c r="K7" i="2"/>
  <c r="K5" i="2"/>
  <c r="K8" i="2"/>
  <c r="K48" i="2"/>
  <c r="K66" i="2"/>
  <c r="K70" i="2"/>
  <c r="K73" i="2"/>
  <c r="K80" i="2"/>
  <c r="K91" i="2"/>
  <c r="K98" i="2"/>
  <c r="K102" i="2"/>
  <c r="K105" i="2"/>
  <c r="K112" i="2"/>
  <c r="K123" i="2"/>
  <c r="K130" i="2"/>
  <c r="K134" i="2"/>
  <c r="K137" i="2"/>
  <c r="K144" i="2"/>
  <c r="K155" i="2"/>
  <c r="K162" i="2"/>
  <c r="K166" i="2"/>
  <c r="K169" i="2"/>
  <c r="K176" i="2"/>
  <c r="K180" i="2"/>
  <c r="K187" i="2"/>
  <c r="K194" i="2"/>
  <c r="K198" i="2"/>
  <c r="K201" i="2"/>
  <c r="D12" i="7"/>
  <c r="E12" i="7" s="1"/>
  <c r="F12" i="7" s="1"/>
  <c r="K67" i="2"/>
  <c r="K78" i="2"/>
  <c r="K88" i="2"/>
  <c r="K163" i="2"/>
  <c r="K174" i="2"/>
  <c r="K177" i="2"/>
  <c r="K184" i="2"/>
  <c r="K188" i="2"/>
  <c r="K18" i="2"/>
  <c r="K59" i="2"/>
  <c r="K15" i="2"/>
  <c r="K22" i="2"/>
  <c r="K42" i="2"/>
  <c r="K63" i="2"/>
  <c r="K127" i="2"/>
  <c r="K159" i="2"/>
  <c r="K191" i="2"/>
  <c r="K32" i="2"/>
  <c r="K39" i="2"/>
  <c r="E4" i="5"/>
  <c r="G17" i="9"/>
  <c r="G22" i="9" s="1"/>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G7" i="9"/>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B4" i="5"/>
  <c r="G8" i="4" l="1"/>
  <c r="H8" i="4" s="1"/>
  <c r="F8" i="4"/>
  <c r="G26" i="4"/>
  <c r="H26" i="4" s="1"/>
  <c r="F26" i="4"/>
  <c r="G18" i="4"/>
  <c r="H18" i="4" s="1"/>
  <c r="F18" i="4"/>
  <c r="G10" i="4"/>
  <c r="H10" i="4" s="1"/>
  <c r="F10" i="4"/>
  <c r="G16" i="4"/>
  <c r="H16" i="4" s="1"/>
  <c r="F16" i="4"/>
  <c r="G34" i="4"/>
  <c r="H34" i="4" s="1"/>
  <c r="F34" i="4"/>
  <c r="G33" i="4"/>
  <c r="H33" i="4" s="1"/>
  <c r="F33" i="4"/>
  <c r="G25" i="4"/>
  <c r="H25" i="4" s="1"/>
  <c r="F25" i="4"/>
  <c r="G17" i="4"/>
  <c r="H17" i="4" s="1"/>
  <c r="F17" i="4"/>
  <c r="G9" i="4"/>
  <c r="H9" i="4" s="1"/>
  <c r="F9" i="4"/>
  <c r="G32" i="4"/>
  <c r="H32" i="4" s="1"/>
  <c r="F32" i="4"/>
  <c r="G31" i="4"/>
  <c r="H31" i="4" s="1"/>
  <c r="F31" i="4"/>
  <c r="G23" i="4"/>
  <c r="H23" i="4" s="1"/>
  <c r="F23" i="4"/>
  <c r="G15" i="4"/>
  <c r="H15" i="4" s="1"/>
  <c r="F15" i="4"/>
  <c r="G7" i="4"/>
  <c r="H7" i="4" s="1"/>
  <c r="F7" i="4"/>
  <c r="G24" i="4"/>
  <c r="H24" i="4" s="1"/>
  <c r="F24" i="4"/>
  <c r="G30" i="4"/>
  <c r="H30" i="4" s="1"/>
  <c r="F30" i="4"/>
  <c r="G22" i="4"/>
  <c r="H22" i="4" s="1"/>
  <c r="F22" i="4"/>
  <c r="G14" i="4"/>
  <c r="H14" i="4" s="1"/>
  <c r="F14" i="4"/>
  <c r="D47" i="4"/>
  <c r="D45" i="4"/>
  <c r="D43" i="4"/>
  <c r="D41" i="4"/>
  <c r="D39" i="4"/>
  <c r="D48" i="4"/>
  <c r="D46" i="4"/>
  <c r="D44" i="4"/>
  <c r="D42" i="4"/>
  <c r="D40" i="4"/>
  <c r="G6" i="4"/>
  <c r="H6" i="4" s="1"/>
  <c r="F6" i="4"/>
  <c r="A7" i="5"/>
  <c r="E6" i="5"/>
  <c r="D6" i="5"/>
  <c r="B6" i="5"/>
  <c r="C6" i="5"/>
  <c r="F6" i="5" s="1"/>
  <c r="G29" i="4"/>
  <c r="H29" i="4" s="1"/>
  <c r="F29" i="4"/>
  <c r="G21" i="4"/>
  <c r="H21" i="4" s="1"/>
  <c r="F21" i="4"/>
  <c r="G13" i="4"/>
  <c r="H13" i="4" s="1"/>
  <c r="F13" i="4"/>
  <c r="G12" i="9"/>
  <c r="G28" i="4"/>
  <c r="H28" i="4" s="1"/>
  <c r="F28" i="4"/>
  <c r="G20" i="4"/>
  <c r="H20" i="4" s="1"/>
  <c r="F20" i="4"/>
  <c r="G12" i="4"/>
  <c r="H12" i="4" s="1"/>
  <c r="F12" i="4"/>
  <c r="G35" i="4"/>
  <c r="H35" i="4" s="1"/>
  <c r="F35" i="4"/>
  <c r="G27" i="4"/>
  <c r="H27" i="4" s="1"/>
  <c r="F27" i="4"/>
  <c r="G19" i="4"/>
  <c r="H19" i="4" s="1"/>
  <c r="F19" i="4"/>
  <c r="G11" i="4"/>
  <c r="H11" i="4" s="1"/>
  <c r="F11" i="4"/>
  <c r="L7" i="3" l="1"/>
  <c r="C40" i="4"/>
  <c r="K7" i="3" s="1"/>
  <c r="B40" i="4"/>
  <c r="J7" i="3" s="1"/>
  <c r="E40" i="4"/>
  <c r="E45" i="4"/>
  <c r="C45" i="4"/>
  <c r="K12" i="3" s="1"/>
  <c r="B45" i="4"/>
  <c r="J12" i="3" s="1"/>
  <c r="L12" i="3"/>
  <c r="L9" i="3"/>
  <c r="C42" i="4"/>
  <c r="K9" i="3" s="1"/>
  <c r="B42" i="4"/>
  <c r="J9" i="3" s="1"/>
  <c r="E42" i="4"/>
  <c r="E47" i="4"/>
  <c r="C47" i="4"/>
  <c r="K14" i="3" s="1"/>
  <c r="B47" i="4"/>
  <c r="J14" i="3" s="1"/>
  <c r="L14" i="3"/>
  <c r="L13" i="3"/>
  <c r="C46" i="4"/>
  <c r="K13" i="3" s="1"/>
  <c r="B46" i="4"/>
  <c r="J13" i="3" s="1"/>
  <c r="E46" i="4"/>
  <c r="L15" i="3"/>
  <c r="C48" i="4"/>
  <c r="K15" i="3" s="1"/>
  <c r="B48" i="4"/>
  <c r="J15" i="3" s="1"/>
  <c r="E48" i="4"/>
  <c r="L11" i="3"/>
  <c r="C44" i="4"/>
  <c r="K11" i="3" s="1"/>
  <c r="B44" i="4"/>
  <c r="J11" i="3" s="1"/>
  <c r="E44" i="4"/>
  <c r="E39" i="4"/>
  <c r="C39" i="4"/>
  <c r="K6" i="3" s="1"/>
  <c r="B39" i="4"/>
  <c r="L6" i="3"/>
  <c r="A8" i="5"/>
  <c r="D7" i="5"/>
  <c r="C7" i="5"/>
  <c r="F7" i="5" s="1"/>
  <c r="B7" i="5"/>
  <c r="E7" i="5"/>
  <c r="E41" i="4"/>
  <c r="C41" i="4"/>
  <c r="K8" i="3" s="1"/>
  <c r="B41" i="4"/>
  <c r="J8" i="3" s="1"/>
  <c r="L8" i="3"/>
  <c r="E43" i="4"/>
  <c r="C43" i="4"/>
  <c r="K10" i="3" s="1"/>
  <c r="B43" i="4"/>
  <c r="J10" i="3" s="1"/>
  <c r="L10" i="3"/>
  <c r="C8" i="5" l="1"/>
  <c r="F8" i="5" s="1"/>
  <c r="B8" i="5"/>
  <c r="E8" i="5"/>
  <c r="D8" i="5"/>
  <c r="A9" i="5"/>
  <c r="E9" i="5" l="1"/>
  <c r="D9" i="5"/>
  <c r="C9" i="5"/>
  <c r="F9" i="5" s="1"/>
  <c r="B9" i="5"/>
  <c r="A10" i="5"/>
  <c r="A11" i="5" l="1"/>
  <c r="E10" i="5"/>
  <c r="D10" i="5"/>
  <c r="B10" i="5"/>
  <c r="C10" i="5"/>
  <c r="F10" i="5" s="1"/>
  <c r="A12" i="5" l="1"/>
  <c r="D11" i="5"/>
  <c r="C11" i="5"/>
  <c r="F11" i="5" s="1"/>
  <c r="B11" i="5"/>
  <c r="E11" i="5"/>
  <c r="C12" i="5" l="1"/>
  <c r="F12" i="5" s="1"/>
  <c r="B12" i="5"/>
  <c r="E12" i="5"/>
  <c r="D12" i="5"/>
  <c r="A13" i="5"/>
  <c r="E13" i="5" l="1"/>
  <c r="D13" i="5"/>
  <c r="C13" i="5"/>
  <c r="F13" i="5" s="1"/>
  <c r="B13" i="5"/>
  <c r="A14" i="5"/>
  <c r="A15" i="5" l="1"/>
  <c r="E14" i="5"/>
  <c r="D14" i="5"/>
  <c r="B14" i="5"/>
  <c r="C14" i="5"/>
  <c r="F14" i="5" s="1"/>
  <c r="A16" i="5" l="1"/>
  <c r="D15" i="5"/>
  <c r="C15" i="5"/>
  <c r="F15" i="5" s="1"/>
  <c r="B15" i="5"/>
  <c r="E15" i="5"/>
  <c r="C16" i="5" l="1"/>
  <c r="F16" i="5" s="1"/>
  <c r="B16" i="5"/>
  <c r="E16" i="5"/>
  <c r="D16" i="5"/>
  <c r="A17" i="5"/>
  <c r="E17" i="5" l="1"/>
  <c r="D17" i="5"/>
  <c r="C17" i="5"/>
  <c r="B17" i="5"/>
  <c r="A18" i="5"/>
  <c r="F17" i="5"/>
  <c r="F18" i="5" l="1"/>
  <c r="E18" i="5"/>
  <c r="D18" i="5"/>
  <c r="B18" i="5"/>
  <c r="C18" i="5"/>
</calcChain>
</file>

<file path=xl/comments1.xml><?xml version="1.0" encoding="utf-8"?>
<comments xmlns="http://schemas.openxmlformats.org/spreadsheetml/2006/main">
  <authors>
    <author>Unknown Author</author>
  </authors>
  <commentList>
    <comment ref="J1" authorId="0" shapeId="0">
      <text>
        <r>
          <rPr>
            <sz val="10"/>
            <rFont val="Arial"/>
            <family val="2"/>
          </rPr>
          <t>SUMIF: running total of Sales for this row's customer across the whole dataset (Groupby-style aggregation). Same value repeats on every row for that customer.</t>
        </r>
      </text>
    </comment>
    <comment ref="K1" authorId="0" shapeId="0">
      <text>
        <r>
          <rPr>
            <sz val="10"/>
            <rFont val="Arial"/>
            <family val="2"/>
          </rPr>
          <t>RANK of the customer's total sales versus all other customers. Rank 1-10 = Top-10 customer by total purchase value. Drives the conditional formatting highlight.</t>
        </r>
      </text>
    </comment>
    <comment ref="L1" authorId="0" shapeId="0">
      <text>
        <r>
          <rPr>
            <sz val="10"/>
            <rFont val="Arial"/>
            <family val="2"/>
          </rPr>
          <t>=NOW() -- volatile timestamp. Updates automatically whenever the workbook recalculates or is reopened, showing when the report was last refreshed.</t>
        </r>
      </text>
    </comment>
  </commentList>
</comments>
</file>

<file path=xl/comments2.xml><?xml version="1.0" encoding="utf-8"?>
<comments xmlns="http://schemas.openxmlformats.org/spreadsheetml/2006/main">
  <authors>
    <author>Unknown Author</author>
  </authors>
  <commentList>
    <comment ref="A3" authorId="0" shapeId="0">
      <text>
        <r>
          <rPr>
            <sz val="10"/>
            <rFont val="Arial"/>
            <family val="2"/>
          </rPr>
          <t>Month start dates are generated with EOMONTH/EDATE from the Dataset's min/max Order_Date, so the trend automatically extends or shrinks if the dataset's date range changes.</t>
        </r>
      </text>
    </comment>
  </commentList>
</comments>
</file>

<file path=xl/comments3.xml><?xml version="1.0" encoding="utf-8"?>
<comments xmlns="http://schemas.openxmlformats.org/spreadsheetml/2006/main">
  <authors>
    <author>Unknown Author</author>
  </authors>
  <commentList>
    <comment ref="C7" authorId="0" shapeId="0">
      <text>
        <r>
          <rPr>
            <sz val="10"/>
            <rFont val="Arial"/>
            <family val="2"/>
          </rPr>
          <t>Editable INPUT cell (yellow = change me). Assumption: each order's Profit scales proportionally with (1 - Discount): New_Profit = Old_Profit x (1-New_Discount)/(1-Old_Discount). Change this cell to instantly see the projected impact on total profit.</t>
        </r>
      </text>
    </comment>
  </commentList>
</comments>
</file>

<file path=xl/sharedStrings.xml><?xml version="1.0" encoding="utf-8"?>
<sst xmlns="http://schemas.openxmlformats.org/spreadsheetml/2006/main" count="928" uniqueCount="150">
  <si>
    <t>PR. 2 Analyzer</t>
  </si>
  <si>
    <t>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</si>
  <si>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Customer_ID</t>
  </si>
  <si>
    <t>Customer_Name</t>
  </si>
  <si>
    <t>Region</t>
  </si>
  <si>
    <t>Product_Category</t>
  </si>
  <si>
    <t>Sales</t>
  </si>
  <si>
    <t>Quantity</t>
  </si>
  <si>
    <t>Discount</t>
  </si>
  <si>
    <t>Order_Date</t>
  </si>
  <si>
    <t>Profit</t>
  </si>
  <si>
    <t>Customer_Total_Sales</t>
  </si>
  <si>
    <t>Customer_Rank</t>
  </si>
  <si>
    <t>Report_Timestamp</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</si>
  <si>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</si>
  <si>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</si>
  <si>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</si>
  <si>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</si>
  <si>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</si>
  <si>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</si>
  <si>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</si>
  <si>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</si>
  <si>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</si>
  <si>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</si>
  <si>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</si>
  <si>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</si>
  <si>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</si>
  <si>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</si>
  <si>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</si>
  <si>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</si>
  <si>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</si>
  <si>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</si>
  <si>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</si>
  <si>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</si>
  <si>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</si>
  <si>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</si>
  <si>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</si>
  <si>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</si>
  <si>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</si>
  <si>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</si>
  <si>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</si>
  <si>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</si>
  <si>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</si>
  <si>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</si>
  <si>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</si>
  <si>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</si>
  <si>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</si>
  <si>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</si>
  <si>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</si>
  <si>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</si>
  <si>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</si>
  <si>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</si>
  <si>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</si>
  <si>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</si>
  <si>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</si>
  <si>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</si>
  <si>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</si>
  <si>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</si>
  <si>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</si>
  <si>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</si>
  <si>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</si>
  <si>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</si>
  <si>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</si>
  <si>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</si>
  <si>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</si>
  <si>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</si>
  <si>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</si>
  <si>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</si>
  <si>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</si>
  <si>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</si>
  <si>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</si>
  <si>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</si>
  <si>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</si>
  <si>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</si>
  <si>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</si>
  <si>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</si>
  <si>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</si>
  <si>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</si>
  <si>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</si>
  <si>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</si>
  <si>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</si>
  <si>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Sales Performance Dashboard</t>
  </si>
  <si>
    <t>Auto-generated KPIs, charts and data storytelling insights -- all formulas, updates live with the Dataset.</t>
  </si>
  <si>
    <t>Total Sales</t>
  </si>
  <si>
    <t>Total Profit</t>
  </si>
  <si>
    <t>Total Orders</t>
  </si>
  <si>
    <t>Unique Customers</t>
  </si>
  <si>
    <t>Avg Discount</t>
  </si>
  <si>
    <t>Overall Margin</t>
  </si>
  <si>
    <t>Top 10 Customers by Total Sales</t>
  </si>
  <si>
    <t>Rank</t>
  </si>
  <si>
    <t>Total_Sales</t>
  </si>
  <si>
    <t>High-Value Customer Identification (INDEX / MATCH / SUMIF)</t>
  </si>
  <si>
    <t>Total_Profit</t>
  </si>
  <si>
    <t>Order_Count</t>
  </si>
  <si>
    <t>Avg_Order_Value</t>
  </si>
  <si>
    <t>Sales_Rank</t>
  </si>
  <si>
    <t>Value_Segment</t>
  </si>
  <si>
    <t>Top 10 Customers - Sorted by Total Sales (LARGE + INDEX/MATCH)</t>
  </si>
  <si>
    <t>Monthly Sales Trend &amp; Growth (with Up/Down Arrow formatting)</t>
  </si>
  <si>
    <t>Last month (helper):</t>
  </si>
  <si>
    <t>Month_Start</t>
  </si>
  <si>
    <t>Month</t>
  </si>
  <si>
    <t>MoM_Sales_Growth</t>
  </si>
  <si>
    <t>What-If Analysis: Impact of Discount Changes on Total Profit</t>
  </si>
  <si>
    <t>Current Average Discount</t>
  </si>
  <si>
    <t>Current Total Sales</t>
  </si>
  <si>
    <t>Current Total Profit</t>
  </si>
  <si>
    <t>Adjust Discount Rate (Input)</t>
  </si>
  <si>
    <t>Projected Total Profit at New Discount</t>
  </si>
  <si>
    <t>Profit Change ($)</t>
  </si>
  <si>
    <t>Profit Change (%)</t>
  </si>
  <si>
    <t>Discount Scenario Sensitivity Table</t>
  </si>
  <si>
    <t>Discount_Scenario</t>
  </si>
  <si>
    <t>Change_vs_Current ($)</t>
  </si>
  <si>
    <t>Change_vs_Current (%)</t>
  </si>
  <si>
    <t>Linear Regression: Profit vs Sales (Data Analysis Toolpak equivalent)</t>
  </si>
  <si>
    <t>Regression Statistics</t>
  </si>
  <si>
    <t>Multiple R</t>
  </si>
  <si>
    <t>R Square</t>
  </si>
  <si>
    <t>Adjusted R Square</t>
  </si>
  <si>
    <t>Standard Error</t>
  </si>
  <si>
    <t>Observations</t>
  </si>
  <si>
    <t>Coefficients Table</t>
  </si>
  <si>
    <t>Coefficients</t>
  </si>
  <si>
    <t>t Stat</t>
  </si>
  <si>
    <t>P-value</t>
  </si>
  <si>
    <t>Intercept</t>
  </si>
  <si>
    <t>Sales (X Variable)</t>
  </si>
  <si>
    <t>Regression Equation</t>
  </si>
  <si>
    <t>Insight (auto-generated)</t>
  </si>
  <si>
    <t>Descriptive Statistics (Data Analysis Toolpak equivalent)</t>
  </si>
  <si>
    <t>Statistic</t>
  </si>
  <si>
    <t>Mean</t>
  </si>
  <si>
    <t>Median</t>
  </si>
  <si>
    <t>Mode</t>
  </si>
  <si>
    <t>Standard Deviation</t>
  </si>
  <si>
    <t>Sample Variance</t>
  </si>
  <si>
    <t>Kurtosis</t>
  </si>
  <si>
    <t>Skewness</t>
  </si>
  <si>
    <t>Range</t>
  </si>
  <si>
    <t>Minimum</t>
  </si>
  <si>
    <t>Maximum</t>
  </si>
  <si>
    <t>Sum</t>
  </si>
  <si>
    <t>Count</t>
  </si>
  <si>
    <t>Pivot Table Summary: Sales &amp; Profit by Region and Category</t>
  </si>
  <si>
    <t>Built with SUMIFS so it recalculates live from the Dataset sheet (safer across Excel/LibreOffice than a native embedded PivotTable). To get an interactive drag-and-drop PivotTable as well, select Dataset!A1:I201 and use Insert &gt; PivotTable.</t>
  </si>
  <si>
    <t>Total Sales by Region x Product Category</t>
  </si>
  <si>
    <t>Grand Total</t>
  </si>
  <si>
    <t>Total Profit by Region x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</si>
</sst>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yyyy\-mm\-dd"/>
    <numFmt numFmtId="165" formatCode="\$#,##0.00"/>
    <numFmt numFmtId="166" formatCode="yyyy\-mm\-dd\ hh:mm"/>
    <numFmt numFmtId="167" formatCode="\$#,##0"/>
    <numFmt numFmtId="168" formatCode="0.0%"/>
    <numFmt numFmtId="169" formatCode="[Green]&quot;▲ &quot;0.0%;[Red]&quot;▼ &quot;0.0%;[Black]&quot;– &quot;0.0%"/>
    <numFmt numFmtId="170" formatCode="0.0000"/>
  </numFmts>
  <fonts count="12" x14ac:knownFonts="1">
    <font>
      <sz val="11"/>
      <color rgb="FF000000"/>
      <name val="Calibri"/>
      <charset val="1"/>
    </font>
    <font>
      <b/>
      <sz val="11"/>
      <color rgb="FF000000"/>
      <name val="Calibri"/>
      <charset val="1"/>
    </font>
    <font>
      <b/>
      <sz val="11"/>
      <color rgb="FFFFFFFF"/>
      <name val="Arial"/>
      <charset val="1"/>
    </font>
    <font>
      <sz val="11"/>
      <name val="Arial"/>
      <charset val="1"/>
    </font>
    <font>
      <sz val="10"/>
      <name val="Arial"/>
      <family val="2"/>
    </font>
    <font>
      <b/>
      <sz val="16"/>
      <color rgb="FF1F4E78"/>
      <name val="Arial"/>
      <charset val="1"/>
    </font>
    <font>
      <i/>
      <sz val="9"/>
      <color rgb="FF808080"/>
      <name val="Arial"/>
      <charset val="1"/>
    </font>
    <font>
      <sz val="10"/>
      <color rgb="FFD9E1F2"/>
      <name val="Arial"/>
      <charset val="1"/>
    </font>
    <font>
      <b/>
      <sz val="11"/>
      <color rgb="FF1F4E78"/>
      <name val="Arial"/>
      <charset val="1"/>
    </font>
    <font>
      <b/>
      <sz val="18"/>
      <color rgb="FFFFFFFF"/>
      <name val="Arial"/>
      <charset val="1"/>
    </font>
    <font>
      <b/>
      <sz val="11"/>
      <name val="Arial"/>
      <charset val="1"/>
    </font>
    <font>
      <b/>
      <sz val="11"/>
      <color rgb="FF0000FF"/>
      <name val="Arial"/>
      <charset val="1"/>
    </font>
  </fonts>
  <fills count="5">
    <fill>
      <patternFill patternType="none"/>
    </fill>
    <fill>
      <patternFill patternType="gray125"/>
    </fill>
    <fill>
      <patternFill patternType="solid">
        <fgColor rgb="FFFFF2CC"/>
        <bgColor rgb="FFFFFFFF"/>
      </patternFill>
    </fill>
    <fill>
      <patternFill patternType="solid">
        <fgColor rgb="FF1F4E78"/>
        <bgColor rgb="FF003366"/>
      </patternFill>
    </fill>
    <fill>
      <patternFill patternType="solid">
        <fgColor rgb="FFFFFF00"/>
        <bgColor rgb="FFFFFF00"/>
      </patternFill>
    </fill>
  </fills>
  <borders count="3">
    <border>
      <left/>
      <right/>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0">
    <xf numFmtId="0" fontId="0" fillId="0" borderId="0" xfId="0"/>
    <xf numFmtId="0" fontId="0" fillId="0" borderId="0" xfId="0" applyAlignment="1"/>
    <xf numFmtId="0" fontId="1" fillId="2" borderId="1" xfId="0" applyFont="1" applyFill="1" applyBorder="1" applyAlignment="1">
      <alignment horizontal="center"/>
    </xf>
    <xf numFmtId="0" fontId="1" fillId="0" borderId="1" xfId="0" applyFont="1" applyBorder="1" applyAlignment="1">
      <alignment wrapText="1"/>
    </xf>
    <xf numFmtId="0" fontId="1" fillId="0" borderId="0" xfId="0" applyFont="1" applyAlignment="1"/>
    <xf numFmtId="0" fontId="2" fillId="3" borderId="2" xfId="0" applyFont="1" applyFill="1" applyBorder="1" applyAlignment="1">
      <alignment horizontal="center" vertical="center" wrapText="1"/>
    </xf>
    <xf numFmtId="0" fontId="0" fillId="0" borderId="0" xfId="0" applyFont="1" applyAlignment="1"/>
    <xf numFmtId="164" fontId="0" fillId="0" borderId="0" xfId="0" applyNumberFormat="1" applyAlignment="1"/>
    <xf numFmtId="165" fontId="3" fillId="0" borderId="2" xfId="0" applyNumberFormat="1" applyFont="1" applyBorder="1"/>
    <xf numFmtId="0" fontId="3" fillId="0" borderId="2" xfId="0" applyFont="1" applyBorder="1"/>
    <xf numFmtId="166" fontId="3" fillId="0" borderId="2" xfId="0" applyNumberFormat="1" applyFont="1" applyBorder="1"/>
    <xf numFmtId="0" fontId="7" fillId="3" borderId="0" xfId="0" applyFont="1" applyFill="1" applyAlignment="1">
      <alignment horizontal="center"/>
    </xf>
    <xf numFmtId="0" fontId="8" fillId="0" borderId="0" xfId="0" applyFont="1"/>
    <xf numFmtId="167" fontId="9" fillId="3" borderId="0" xfId="0" applyNumberFormat="1" applyFont="1" applyFill="1" applyAlignment="1">
      <alignment horizontal="center"/>
    </xf>
    <xf numFmtId="1" fontId="9" fillId="3" borderId="0" xfId="0" applyNumberFormat="1" applyFont="1" applyFill="1" applyAlignment="1">
      <alignment horizontal="center"/>
    </xf>
    <xf numFmtId="168" fontId="9" fillId="3" borderId="0" xfId="0" applyNumberFormat="1" applyFont="1" applyFill="1" applyAlignment="1">
      <alignment horizontal="center"/>
    </xf>
    <xf numFmtId="0" fontId="10" fillId="0" borderId="0" xfId="0" applyFont="1"/>
    <xf numFmtId="0" fontId="3" fillId="0" borderId="2" xfId="0" applyFont="1" applyBorder="1"/>
    <xf numFmtId="0" fontId="6" fillId="0" borderId="0" xfId="0" applyFont="1"/>
    <xf numFmtId="164" fontId="3" fillId="0" borderId="2" xfId="0" applyNumberFormat="1" applyFont="1" applyBorder="1"/>
    <xf numFmtId="169" fontId="3" fillId="0" borderId="2" xfId="0" applyNumberFormat="1" applyFont="1" applyBorder="1"/>
    <xf numFmtId="168" fontId="3" fillId="0" borderId="0" xfId="0" applyNumberFormat="1" applyFont="1"/>
    <xf numFmtId="165" fontId="3" fillId="0" borderId="0" xfId="0" applyNumberFormat="1" applyFont="1"/>
    <xf numFmtId="0" fontId="3" fillId="0" borderId="0" xfId="0" applyFont="1"/>
    <xf numFmtId="168" fontId="11" fillId="4" borderId="0" xfId="0" applyNumberFormat="1" applyFont="1" applyFill="1"/>
    <xf numFmtId="9" fontId="3" fillId="0" borderId="2" xfId="0" applyNumberFormat="1" applyFont="1" applyBorder="1"/>
    <xf numFmtId="168" fontId="3" fillId="0" borderId="2" xfId="0" applyNumberFormat="1" applyFont="1" applyBorder="1"/>
    <xf numFmtId="170" fontId="3" fillId="0" borderId="0" xfId="0" applyNumberFormat="1" applyFont="1"/>
    <xf numFmtId="1" fontId="3" fillId="0" borderId="0" xfId="0" applyNumberFormat="1" applyFont="1"/>
    <xf numFmtId="170" fontId="3" fillId="0" borderId="2" xfId="0" applyNumberFormat="1" applyFont="1" applyBorder="1"/>
    <xf numFmtId="0" fontId="10" fillId="0" borderId="2" xfId="0" applyFont="1" applyBorder="1"/>
    <xf numFmtId="10" fontId="3" fillId="0" borderId="2" xfId="0" applyNumberFormat="1" applyFont="1" applyBorder="1"/>
    <xf numFmtId="1" fontId="3" fillId="0" borderId="2" xfId="0" applyNumberFormat="1" applyFont="1" applyBorder="1"/>
    <xf numFmtId="165" fontId="10" fillId="0" borderId="2" xfId="0" applyNumberFormat="1" applyFont="1" applyBorder="1"/>
    <xf numFmtId="165" fontId="3" fillId="0" borderId="2" xfId="0" applyNumberFormat="1" applyFont="1" applyFill="1" applyBorder="1"/>
    <xf numFmtId="0" fontId="3" fillId="0" borderId="0" xfId="0" applyFont="1" applyBorder="1" applyAlignment="1">
      <alignment wrapText="1"/>
    </xf>
    <xf numFmtId="0" fontId="5" fillId="0" borderId="0" xfId="0" applyFont="1" applyBorder="1"/>
    <xf numFmtId="0" fontId="6" fillId="0" borderId="0" xfId="0" applyFont="1" applyBorder="1"/>
    <xf numFmtId="0" fontId="8" fillId="0" borderId="0" xfId="0" applyFont="1" applyBorder="1"/>
    <xf numFmtId="0" fontId="0" fillId="0" borderId="0" xfId="0" applyBorder="1" applyAlignment="1">
      <alignment wrapText="1"/>
    </xf>
  </cellXfs>
  <cellStyles count="1">
    <cellStyle name="Normal" xfId="0" builtinId="0"/>
  </cellStyles>
  <dxfs count="2">
    <dxf>
      <font>
        <b/>
        <name val="Arial"/>
      </font>
      <fill>
        <patternFill>
          <bgColor rgb="FFC6EFCE"/>
        </patternFill>
      </fill>
    </dxf>
    <dxf>
      <font>
        <b/>
        <name val="Arial"/>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8A303"/>
      <rgbColor rgb="FF000080"/>
      <rgbColor rgb="FF808000"/>
      <rgbColor rgb="FF8E03A3"/>
      <rgbColor rgb="FF008080"/>
      <rgbColor rgb="FFB7B7B7"/>
      <rgbColor rgb="FF808080"/>
      <rgbColor rgb="FF9999FF"/>
      <rgbColor rgb="FF993366"/>
      <rgbColor rgb="FFFFF2CC"/>
      <rgbColor rgb="FFD9E1F2"/>
      <rgbColor rgb="FF660066"/>
      <rgbColor rgb="FFFF8080"/>
      <rgbColor rgb="FF0369A3"/>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C99C00"/>
      <rgbColor rgb="FFFF6600"/>
      <rgbColor rgb="FF666699"/>
      <rgbColor rgb="FFB3B3B3"/>
      <rgbColor rgb="FF003366"/>
      <rgbColor rgb="FF339966"/>
      <rgbColor rgb="FF003300"/>
      <rgbColor rgb="FF333300"/>
      <rgbColor rgb="FFA33E03"/>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DejaVu Sans"/>
              </a:defRPr>
            </a:pPr>
            <a:r>
              <a:rPr lang="en-IN" sz="1800" b="1" strike="noStrike" spc="-1">
                <a:solidFill>
                  <a:srgbClr val="000000"/>
                </a:solidFill>
                <a:latin typeface="Arial"/>
                <a:ea typeface="DejaVu Sans"/>
              </a:rPr>
              <a:t>Total Sales by Region</a:t>
            </a:r>
          </a:p>
        </c:rich>
      </c:tx>
      <c:overlay val="0"/>
      <c:spPr>
        <a:noFill/>
        <a:ln w="0">
          <a:noFill/>
        </a:ln>
      </c:spPr>
    </c:title>
    <c:autoTitleDeleted val="0"/>
    <c:plotArea>
      <c:layout/>
      <c:barChart>
        <c:barDir val="col"/>
        <c:grouping val="clustered"/>
        <c:varyColors val="0"/>
        <c:ser>
          <c:idx val="0"/>
          <c:order val="0"/>
          <c:tx>
            <c:strRef>
              <c:f>'Pivot Summary'!$G$6</c:f>
              <c:strCache>
                <c:ptCount val="1"/>
                <c:pt idx="0">
                  <c:v>Grand Total</c:v>
                </c:pt>
              </c:strCache>
            </c:strRef>
          </c:tx>
          <c:spPr>
            <a:solidFill>
              <a:srgbClr val="18A30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Summary'!$A$7:$A$11</c:f>
              <c:strCache>
                <c:ptCount val="5"/>
                <c:pt idx="0">
                  <c:v>West</c:v>
                </c:pt>
                <c:pt idx="1">
                  <c:v>East</c:v>
                </c:pt>
                <c:pt idx="2">
                  <c:v>South</c:v>
                </c:pt>
                <c:pt idx="3">
                  <c:v>North</c:v>
                </c:pt>
                <c:pt idx="4">
                  <c:v>Central</c:v>
                </c:pt>
              </c:strCache>
            </c:strRef>
          </c:cat>
          <c:val>
            <c:numRef>
              <c:f>'Pivot Summary'!$G$7:$G$11</c:f>
              <c:numCache>
                <c:formatCode>\$#,##0.00</c:formatCode>
                <c:ptCount val="5"/>
                <c:pt idx="0">
                  <c:v>44083.58</c:v>
                </c:pt>
                <c:pt idx="1">
                  <c:v>32441.640000000003</c:v>
                </c:pt>
                <c:pt idx="2">
                  <c:v>40248.79</c:v>
                </c:pt>
                <c:pt idx="3">
                  <c:v>34975.420000000006</c:v>
                </c:pt>
                <c:pt idx="4">
                  <c:v>43468.33</c:v>
                </c:pt>
              </c:numCache>
            </c:numRef>
          </c:val>
          <c:extLst>
            <c:ext xmlns:c16="http://schemas.microsoft.com/office/drawing/2014/chart" uri="{C3380CC4-5D6E-409C-BE32-E72D297353CC}">
              <c16:uniqueId val="{00000000-DC17-4A84-BEA9-43532417FF52}"/>
            </c:ext>
          </c:extLst>
        </c:ser>
        <c:dLbls>
          <c:showLegendKey val="0"/>
          <c:showVal val="0"/>
          <c:showCatName val="0"/>
          <c:showSerName val="0"/>
          <c:showPercent val="0"/>
          <c:showBubbleSize val="0"/>
        </c:dLbls>
        <c:gapWidth val="150"/>
        <c:axId val="57773244"/>
        <c:axId val="98909024"/>
      </c:barChart>
      <c:catAx>
        <c:axId val="5777324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98909024"/>
        <c:crosses val="autoZero"/>
        <c:auto val="1"/>
        <c:lblAlgn val="ctr"/>
        <c:lblOffset val="100"/>
        <c:noMultiLvlLbl val="0"/>
      </c:catAx>
      <c:valAx>
        <c:axId val="9890902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Total Sales ($)</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5777324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DejaVu Sans"/>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DejaVu Sans"/>
              </a:defRPr>
            </a:pPr>
            <a:r>
              <a:rPr lang="en-IN" sz="1800" b="1" strike="noStrike" spc="-1">
                <a:solidFill>
                  <a:srgbClr val="000000"/>
                </a:solidFill>
                <a:latin typeface="Arial"/>
                <a:ea typeface="DejaVu Sans"/>
              </a:rPr>
              <a:t>Sales Share by Category</a:t>
            </a:r>
          </a:p>
        </c:rich>
      </c:tx>
      <c:overlay val="0"/>
      <c:spPr>
        <a:noFill/>
        <a:ln w="0">
          <a:noFill/>
        </a:ln>
      </c:spPr>
    </c:title>
    <c:autoTitleDeleted val="0"/>
    <c:plotArea>
      <c:layout/>
      <c:pieChart>
        <c:varyColors val="1"/>
        <c:ser>
          <c:idx val="0"/>
          <c:order val="0"/>
          <c:spPr>
            <a:solidFill>
              <a:srgbClr val="18A303"/>
            </a:solidFill>
            <a:ln w="0">
              <a:noFill/>
            </a:ln>
          </c:spPr>
          <c:dPt>
            <c:idx val="0"/>
            <c:bubble3D val="0"/>
            <c:extLst>
              <c:ext xmlns:c16="http://schemas.microsoft.com/office/drawing/2014/chart" uri="{C3380CC4-5D6E-409C-BE32-E72D297353CC}">
                <c16:uniqueId val="{00000001-B6B3-4F46-AF35-4A2906DE1159}"/>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B6B3-4F46-AF35-4A2906DE1159}"/>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Summary'!$B$12</c:f>
              <c:numCache>
                <c:formatCode>\$#,##0.00</c:formatCode>
                <c:ptCount val="1"/>
                <c:pt idx="0">
                  <c:v>47002.460000000006</c:v>
                </c:pt>
              </c:numCache>
            </c:numRef>
          </c:val>
          <c:extLst>
            <c:ext xmlns:c16="http://schemas.microsoft.com/office/drawing/2014/chart" uri="{C3380CC4-5D6E-409C-BE32-E72D297353CC}">
              <c16:uniqueId val="{00000002-B6B3-4F46-AF35-4A2906DE1159}"/>
            </c:ext>
          </c:extLst>
        </c:ser>
        <c:ser>
          <c:idx val="1"/>
          <c:order val="1"/>
          <c:spPr>
            <a:solidFill>
              <a:srgbClr val="0369A3"/>
            </a:solidFill>
            <a:ln w="0">
              <a:noFill/>
            </a:ln>
          </c:spPr>
          <c:dPt>
            <c:idx val="0"/>
            <c:bubble3D val="0"/>
            <c:spPr>
              <a:solidFill>
                <a:srgbClr val="18A303"/>
              </a:solidFill>
              <a:ln w="0">
                <a:noFill/>
              </a:ln>
            </c:spPr>
            <c:extLst>
              <c:ext xmlns:c16="http://schemas.microsoft.com/office/drawing/2014/chart" uri="{C3380CC4-5D6E-409C-BE32-E72D297353CC}">
                <c16:uniqueId val="{00000004-B6B3-4F46-AF35-4A2906DE1159}"/>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B6B3-4F46-AF35-4A2906DE1159}"/>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Summary'!$C$12</c:f>
              <c:numCache>
                <c:formatCode>\$#,##0.00</c:formatCode>
                <c:ptCount val="1"/>
                <c:pt idx="0">
                  <c:v>41927.589999999997</c:v>
                </c:pt>
              </c:numCache>
            </c:numRef>
          </c:val>
          <c:extLst>
            <c:ext xmlns:c16="http://schemas.microsoft.com/office/drawing/2014/chart" uri="{C3380CC4-5D6E-409C-BE32-E72D297353CC}">
              <c16:uniqueId val="{00000005-B6B3-4F46-AF35-4A2906DE1159}"/>
            </c:ext>
          </c:extLst>
        </c:ser>
        <c:ser>
          <c:idx val="2"/>
          <c:order val="2"/>
          <c:spPr>
            <a:solidFill>
              <a:srgbClr val="A33E03"/>
            </a:solidFill>
            <a:ln w="0">
              <a:noFill/>
            </a:ln>
          </c:spPr>
          <c:dPt>
            <c:idx val="0"/>
            <c:bubble3D val="0"/>
            <c:spPr>
              <a:solidFill>
                <a:srgbClr val="18A303"/>
              </a:solidFill>
              <a:ln w="0">
                <a:noFill/>
              </a:ln>
            </c:spPr>
            <c:extLst>
              <c:ext xmlns:c16="http://schemas.microsoft.com/office/drawing/2014/chart" uri="{C3380CC4-5D6E-409C-BE32-E72D297353CC}">
                <c16:uniqueId val="{00000007-B6B3-4F46-AF35-4A2906DE1159}"/>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B6B3-4F46-AF35-4A2906DE1159}"/>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Summary'!$D$12</c:f>
              <c:numCache>
                <c:formatCode>\$#,##0.00</c:formatCode>
                <c:ptCount val="1"/>
                <c:pt idx="0">
                  <c:v>41044</c:v>
                </c:pt>
              </c:numCache>
            </c:numRef>
          </c:val>
          <c:extLst>
            <c:ext xmlns:c16="http://schemas.microsoft.com/office/drawing/2014/chart" uri="{C3380CC4-5D6E-409C-BE32-E72D297353CC}">
              <c16:uniqueId val="{00000008-B6B3-4F46-AF35-4A2906DE1159}"/>
            </c:ext>
          </c:extLst>
        </c:ser>
        <c:ser>
          <c:idx val="3"/>
          <c:order val="3"/>
          <c:spPr>
            <a:solidFill>
              <a:srgbClr val="8E03A3"/>
            </a:solidFill>
            <a:ln w="0">
              <a:noFill/>
            </a:ln>
          </c:spPr>
          <c:dPt>
            <c:idx val="0"/>
            <c:bubble3D val="0"/>
            <c:spPr>
              <a:solidFill>
                <a:srgbClr val="18A303"/>
              </a:solidFill>
              <a:ln w="0">
                <a:noFill/>
              </a:ln>
            </c:spPr>
            <c:extLst>
              <c:ext xmlns:c16="http://schemas.microsoft.com/office/drawing/2014/chart" uri="{C3380CC4-5D6E-409C-BE32-E72D297353CC}">
                <c16:uniqueId val="{0000000A-B6B3-4F46-AF35-4A2906DE1159}"/>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B6B3-4F46-AF35-4A2906DE1159}"/>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Summary'!$E$12</c:f>
              <c:numCache>
                <c:formatCode>\$#,##0.00</c:formatCode>
                <c:ptCount val="1"/>
                <c:pt idx="0">
                  <c:v>36612.89</c:v>
                </c:pt>
              </c:numCache>
            </c:numRef>
          </c:val>
          <c:extLst>
            <c:ext xmlns:c16="http://schemas.microsoft.com/office/drawing/2014/chart" uri="{C3380CC4-5D6E-409C-BE32-E72D297353CC}">
              <c16:uniqueId val="{0000000B-B6B3-4F46-AF35-4A2906DE1159}"/>
            </c:ext>
          </c:extLst>
        </c:ser>
        <c:ser>
          <c:idx val="4"/>
          <c:order val="4"/>
          <c:spPr>
            <a:solidFill>
              <a:srgbClr val="C99C00"/>
            </a:solidFill>
            <a:ln w="0">
              <a:noFill/>
            </a:ln>
          </c:spPr>
          <c:dPt>
            <c:idx val="0"/>
            <c:bubble3D val="0"/>
            <c:spPr>
              <a:solidFill>
                <a:srgbClr val="18A303"/>
              </a:solidFill>
              <a:ln w="0">
                <a:noFill/>
              </a:ln>
            </c:spPr>
            <c:extLst>
              <c:ext xmlns:c16="http://schemas.microsoft.com/office/drawing/2014/chart" uri="{C3380CC4-5D6E-409C-BE32-E72D297353CC}">
                <c16:uniqueId val="{0000000D-B6B3-4F46-AF35-4A2906DE1159}"/>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B6B3-4F46-AF35-4A2906DE1159}"/>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Summary'!$F$12</c:f>
              <c:numCache>
                <c:formatCode>\$#,##0.00</c:formatCode>
                <c:ptCount val="1"/>
                <c:pt idx="0">
                  <c:v>28630.82</c:v>
                </c:pt>
              </c:numCache>
            </c:numRef>
          </c:val>
          <c:extLst>
            <c:ext xmlns:c16="http://schemas.microsoft.com/office/drawing/2014/chart" uri="{C3380CC4-5D6E-409C-BE32-E72D297353CC}">
              <c16:uniqueId val="{0000000E-B6B3-4F46-AF35-4A2906DE1159}"/>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Arial"/>
              <a:ea typeface="DejaVu Sans"/>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DejaVu Sans"/>
              </a:defRPr>
            </a:pPr>
            <a:r>
              <a:rPr lang="en-IN" sz="1800" b="1" strike="noStrike" spc="-1">
                <a:solidFill>
                  <a:srgbClr val="000000"/>
                </a:solidFill>
                <a:latin typeface="Arial"/>
                <a:ea typeface="DejaVu Sans"/>
              </a:rPr>
              <a:t>Monthly Sales Trend</a:t>
            </a:r>
          </a:p>
        </c:rich>
      </c:tx>
      <c:overlay val="0"/>
      <c:spPr>
        <a:noFill/>
        <a:ln w="0">
          <a:noFill/>
        </a:ln>
      </c:spPr>
    </c:title>
    <c:autoTitleDeleted val="0"/>
    <c:plotArea>
      <c:layout/>
      <c:lineChart>
        <c:grouping val="standard"/>
        <c:varyColors val="0"/>
        <c:ser>
          <c:idx val="0"/>
          <c:order val="0"/>
          <c:tx>
            <c:strRef>
              <c:f>'Monthly Trend'!$C$3</c:f>
              <c:strCache>
                <c:ptCount val="1"/>
                <c:pt idx="0">
                  <c:v>Total_Sales</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Trend'!$B$4:$B$18</c:f>
              <c:strCache>
                <c:ptCount val="13"/>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pt idx="12">
                  <c:v>Apr-2025</c:v>
                </c:pt>
              </c:strCache>
            </c:strRef>
          </c:cat>
          <c:val>
            <c:numRef>
              <c:f>'Monthly Trend'!$C$4:$C$18</c:f>
              <c:numCache>
                <c:formatCode>\$#,##0.00</c:formatCode>
                <c:ptCount val="15"/>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pt idx="13">
                  <c:v>0</c:v>
                </c:pt>
                <c:pt idx="14">
                  <c:v>0</c:v>
                </c:pt>
              </c:numCache>
            </c:numRef>
          </c:val>
          <c:smooth val="1"/>
          <c:extLst>
            <c:ext xmlns:c16="http://schemas.microsoft.com/office/drawing/2014/chart" uri="{C3380CC4-5D6E-409C-BE32-E72D297353CC}">
              <c16:uniqueId val="{00000000-3F31-44D7-8325-2A627D88A11A}"/>
            </c:ext>
          </c:extLst>
        </c:ser>
        <c:dLbls>
          <c:showLegendKey val="0"/>
          <c:showVal val="0"/>
          <c:showCatName val="0"/>
          <c:showSerName val="0"/>
          <c:showPercent val="0"/>
          <c:showBubbleSize val="0"/>
        </c:dLbls>
        <c:hiLowLines>
          <c:spPr>
            <a:ln w="0">
              <a:noFill/>
            </a:ln>
          </c:spPr>
        </c:hiLowLines>
        <c:smooth val="0"/>
        <c:axId val="74907402"/>
        <c:axId val="80069923"/>
      </c:lineChart>
      <c:catAx>
        <c:axId val="74907402"/>
        <c:scaling>
          <c:orientation val="minMax"/>
        </c:scaling>
        <c:delete val="0"/>
        <c:axPos val="b"/>
        <c:title>
          <c:tx>
            <c:rich>
              <a:bodyPr rot="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Month</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80069923"/>
        <c:crosses val="autoZero"/>
        <c:auto val="1"/>
        <c:lblAlgn val="ctr"/>
        <c:lblOffset val="100"/>
        <c:noMultiLvlLbl val="0"/>
      </c:catAx>
      <c:valAx>
        <c:axId val="8006992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Total Sales ($)</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7490740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DejaVu Sans"/>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DejaVu Sans"/>
              </a:defRPr>
            </a:pPr>
            <a:r>
              <a:rPr lang="en-IN" sz="1800" b="1" strike="noStrike" spc="-1">
                <a:solidFill>
                  <a:srgbClr val="000000"/>
                </a:solidFill>
                <a:latin typeface="Arial"/>
                <a:ea typeface="DejaVu Sans"/>
              </a:rPr>
              <a:t>Monthly Sales Trend</a:t>
            </a:r>
          </a:p>
        </c:rich>
      </c:tx>
      <c:overlay val="0"/>
      <c:spPr>
        <a:noFill/>
        <a:ln w="0">
          <a:noFill/>
        </a:ln>
      </c:spPr>
    </c:title>
    <c:autoTitleDeleted val="0"/>
    <c:plotArea>
      <c:layout/>
      <c:lineChart>
        <c:grouping val="standard"/>
        <c:varyColors val="0"/>
        <c:ser>
          <c:idx val="0"/>
          <c:order val="0"/>
          <c:tx>
            <c:strRef>
              <c:f>'Monthly Trend'!$C$3</c:f>
              <c:strCache>
                <c:ptCount val="1"/>
                <c:pt idx="0">
                  <c:v>Total_Sales</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Trend'!$B$4:$B$18</c:f>
              <c:strCache>
                <c:ptCount val="13"/>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pt idx="12">
                  <c:v>Apr-2025</c:v>
                </c:pt>
              </c:strCache>
            </c:strRef>
          </c:cat>
          <c:val>
            <c:numRef>
              <c:f>'Monthly Trend'!$C$4:$C$18</c:f>
              <c:numCache>
                <c:formatCode>\$#,##0.00</c:formatCode>
                <c:ptCount val="15"/>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pt idx="13">
                  <c:v>0</c:v>
                </c:pt>
                <c:pt idx="14">
                  <c:v>0</c:v>
                </c:pt>
              </c:numCache>
            </c:numRef>
          </c:val>
          <c:smooth val="1"/>
          <c:extLst>
            <c:ext xmlns:c16="http://schemas.microsoft.com/office/drawing/2014/chart" uri="{C3380CC4-5D6E-409C-BE32-E72D297353CC}">
              <c16:uniqueId val="{00000000-BA63-41AB-AE86-D33E66B85335}"/>
            </c:ext>
          </c:extLst>
        </c:ser>
        <c:dLbls>
          <c:showLegendKey val="0"/>
          <c:showVal val="0"/>
          <c:showCatName val="0"/>
          <c:showSerName val="0"/>
          <c:showPercent val="0"/>
          <c:showBubbleSize val="0"/>
        </c:dLbls>
        <c:hiLowLines>
          <c:spPr>
            <a:ln w="0">
              <a:noFill/>
            </a:ln>
          </c:spPr>
        </c:hiLowLines>
        <c:smooth val="0"/>
        <c:axId val="4482353"/>
        <c:axId val="31067954"/>
      </c:lineChart>
      <c:catAx>
        <c:axId val="4482353"/>
        <c:scaling>
          <c:orientation val="minMax"/>
        </c:scaling>
        <c:delete val="0"/>
        <c:axPos val="b"/>
        <c:title>
          <c:tx>
            <c:rich>
              <a:bodyPr rot="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Month</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31067954"/>
        <c:crosses val="autoZero"/>
        <c:auto val="1"/>
        <c:lblAlgn val="ctr"/>
        <c:lblOffset val="100"/>
        <c:noMultiLvlLbl val="0"/>
      </c:catAx>
      <c:valAx>
        <c:axId val="3106795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Total Sales ($)</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448235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DejaVu Sans"/>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DejaVu Sans"/>
              </a:defRPr>
            </a:pPr>
            <a:r>
              <a:rPr lang="en-IN" sz="1800" b="1" strike="noStrike" spc="-1">
                <a:solidFill>
                  <a:srgbClr val="000000"/>
                </a:solidFill>
                <a:latin typeface="Arial"/>
                <a:ea typeface="DejaVu Sans"/>
              </a:rPr>
              <a:t>Total Profit by Discount Scenario</a:t>
            </a:r>
          </a:p>
        </c:rich>
      </c:tx>
      <c:overlay val="0"/>
      <c:spPr>
        <a:noFill/>
        <a:ln w="0">
          <a:noFill/>
        </a:ln>
      </c:spPr>
    </c:title>
    <c:autoTitleDeleted val="0"/>
    <c:plotArea>
      <c:layout/>
      <c:lineChart>
        <c:grouping val="standard"/>
        <c:varyColors val="0"/>
        <c:ser>
          <c:idx val="0"/>
          <c:order val="0"/>
          <c:tx>
            <c:strRef>
              <c:f>'What-If Analysis'!$C$14</c:f>
              <c:strCache>
                <c:ptCount val="1"/>
                <c:pt idx="0">
                  <c:v>Total_Profit</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'What-If Analysis'!$B$15:$B$22</c:f>
              <c:numCache>
                <c:formatCode>0%</c:formatCode>
                <c:ptCount val="8"/>
                <c:pt idx="0">
                  <c:v>0</c:v>
                </c:pt>
                <c:pt idx="1">
                  <c:v>0.05</c:v>
                </c:pt>
                <c:pt idx="2">
                  <c:v>0.1</c:v>
                </c:pt>
                <c:pt idx="3">
                  <c:v>0.15</c:v>
                </c:pt>
                <c:pt idx="4">
                  <c:v>0.2</c:v>
                </c:pt>
                <c:pt idx="5">
                  <c:v>0.25</c:v>
                </c:pt>
                <c:pt idx="6">
                  <c:v>0.3</c:v>
                </c:pt>
                <c:pt idx="7">
                  <c:v>0.35</c:v>
                </c:pt>
              </c:numCache>
            </c:numRef>
          </c:cat>
          <c:val>
            <c:numRef>
              <c:f>'What-If Analysis'!$C$15:$C$22</c:f>
              <c:numCache>
                <c:formatCode>\$#,##0.00</c:formatCode>
                <c:ptCount val="8"/>
                <c:pt idx="0">
                  <c:v>75724.189857241203</c:v>
                </c:pt>
                <c:pt idx="1">
                  <c:v>71937.980364379095</c:v>
                </c:pt>
                <c:pt idx="2">
                  <c:v>68151.770871517016</c:v>
                </c:pt>
                <c:pt idx="3">
                  <c:v>64365.561378654958</c:v>
                </c:pt>
                <c:pt idx="4">
                  <c:v>60579.351885792894</c:v>
                </c:pt>
                <c:pt idx="5">
                  <c:v>56793.142392930866</c:v>
                </c:pt>
                <c:pt idx="6">
                  <c:v>53006.932900068809</c:v>
                </c:pt>
                <c:pt idx="7">
                  <c:v>49220.723407206766</c:v>
                </c:pt>
              </c:numCache>
            </c:numRef>
          </c:val>
          <c:smooth val="1"/>
          <c:extLst>
            <c:ext xmlns:c16="http://schemas.microsoft.com/office/drawing/2014/chart" uri="{C3380CC4-5D6E-409C-BE32-E72D297353CC}">
              <c16:uniqueId val="{00000000-0D0B-4472-8C95-58DA801DBC1E}"/>
            </c:ext>
          </c:extLst>
        </c:ser>
        <c:dLbls>
          <c:showLegendKey val="0"/>
          <c:showVal val="0"/>
          <c:showCatName val="0"/>
          <c:showSerName val="0"/>
          <c:showPercent val="0"/>
          <c:showBubbleSize val="0"/>
        </c:dLbls>
        <c:hiLowLines>
          <c:spPr>
            <a:ln w="0">
              <a:noFill/>
            </a:ln>
          </c:spPr>
        </c:hiLowLines>
        <c:smooth val="0"/>
        <c:axId val="91043178"/>
        <c:axId val="42715267"/>
      </c:lineChart>
      <c:catAx>
        <c:axId val="91043178"/>
        <c:scaling>
          <c:orientation val="minMax"/>
        </c:scaling>
        <c:delete val="0"/>
        <c:axPos val="b"/>
        <c:title>
          <c:tx>
            <c:rich>
              <a:bodyPr rot="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Discount %</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42715267"/>
        <c:crosses val="autoZero"/>
        <c:auto val="1"/>
        <c:lblAlgn val="ctr"/>
        <c:lblOffset val="100"/>
        <c:noMultiLvlLbl val="0"/>
      </c:catAx>
      <c:valAx>
        <c:axId val="42715267"/>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Total Profit ($)</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9104317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DejaVu Sans"/>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DejaVu Sans"/>
              </a:defRPr>
            </a:pPr>
            <a:r>
              <a:rPr lang="en-IN" sz="1800" b="1" strike="noStrike" spc="-1">
                <a:solidFill>
                  <a:srgbClr val="000000"/>
                </a:solidFill>
                <a:latin typeface="Arial"/>
                <a:ea typeface="DejaVu Sans"/>
              </a:rPr>
              <a:t>Profit vs Sales (with Linear Trendline)</a:t>
            </a:r>
          </a:p>
        </c:rich>
      </c:tx>
      <c:overlay val="0"/>
      <c:spPr>
        <a:noFill/>
        <a:ln w="0">
          <a:noFill/>
        </a:ln>
      </c:spPr>
    </c:title>
    <c:autoTitleDeleted val="0"/>
    <c:plotArea>
      <c:layout/>
      <c:scatterChart>
        <c:scatterStyle val="lineMarker"/>
        <c:varyColors val="0"/>
        <c:ser>
          <c:idx val="0"/>
          <c:order val="0"/>
          <c:tx>
            <c:v>Profit vs Sales</c:v>
          </c:tx>
          <c:spPr>
            <a:ln w="19080">
              <a:noFill/>
            </a:ln>
          </c:spPr>
          <c:marker>
            <c:symbol val="circle"/>
            <c:size val="5"/>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0">
                <a:solidFill>
                  <a:srgbClr val="000000"/>
                </a:solidFill>
              </a:ln>
            </c:spPr>
            <c:trendlineType val="linear"/>
            <c:dispRSqr val="1"/>
            <c:dispEq val="1"/>
            <c:trendlineLbl>
              <c:numFmt formatCode="General" sourceLinked="0"/>
            </c:trendlineLbl>
          </c:trendline>
          <c:xVal>
            <c:numRef>
              <c:f>Dataset!$E$2:$E$201</c:f>
              <c:numCache>
                <c:formatCode>General</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xVal>
          <c:yVal>
            <c:numRef>
              <c:f>Dataset!$I$2:$I$201</c:f>
              <c:numCache>
                <c:formatCode>General</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yVal>
          <c:smooth val="1"/>
          <c:extLst>
            <c:ext xmlns:c16="http://schemas.microsoft.com/office/drawing/2014/chart" uri="{C3380CC4-5D6E-409C-BE32-E72D297353CC}">
              <c16:uniqueId val="{00000000-4E41-4490-8753-2C275F29D5E2}"/>
            </c:ext>
          </c:extLst>
        </c:ser>
        <c:dLbls>
          <c:showLegendKey val="0"/>
          <c:showVal val="0"/>
          <c:showCatName val="0"/>
          <c:showSerName val="0"/>
          <c:showPercent val="0"/>
          <c:showBubbleSize val="0"/>
        </c:dLbls>
        <c:axId val="12339647"/>
        <c:axId val="40819379"/>
      </c:scatterChart>
      <c:valAx>
        <c:axId val="12339647"/>
        <c:scaling>
          <c:orientation val="minMax"/>
        </c:scaling>
        <c:delete val="0"/>
        <c:axPos val="b"/>
        <c:majorGridlines>
          <c:spPr>
            <a:ln w="0">
              <a:solidFill>
                <a:srgbClr val="B3B3B3"/>
              </a:solidFill>
            </a:ln>
          </c:spPr>
        </c:majorGridlines>
        <c:title>
          <c:tx>
            <c:rich>
              <a:bodyPr rot="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Sales ($)</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40819379"/>
        <c:crosses val="autoZero"/>
        <c:crossBetween val="midCat"/>
      </c:valAx>
      <c:valAx>
        <c:axId val="4081937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Profit ($)</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12339647"/>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Arial"/>
              <a:ea typeface="DejaVu Sans"/>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DejaVu Sans"/>
              </a:defRPr>
            </a:pPr>
            <a:r>
              <a:rPr lang="en-IN" sz="1800" b="1" strike="noStrike" spc="-1">
                <a:solidFill>
                  <a:srgbClr val="000000"/>
                </a:solidFill>
                <a:latin typeface="Arial"/>
                <a:ea typeface="DejaVu Sans"/>
              </a:rPr>
              <a:t>Total Sales by Region</a:t>
            </a:r>
          </a:p>
        </c:rich>
      </c:tx>
      <c:layout/>
      <c:overlay val="0"/>
      <c:spPr>
        <a:noFill/>
        <a:ln w="0">
          <a:noFill/>
        </a:ln>
      </c:spPr>
    </c:title>
    <c:autoTitleDeleted val="0"/>
    <c:plotArea>
      <c:layout/>
      <c:barChart>
        <c:barDir val="col"/>
        <c:grouping val="clustered"/>
        <c:varyColors val="0"/>
        <c:ser>
          <c:idx val="0"/>
          <c:order val="0"/>
          <c:tx>
            <c:strRef>
              <c:f>'Pivot Summary'!$G$6</c:f>
              <c:strCache>
                <c:ptCount val="1"/>
                <c:pt idx="0">
                  <c:v>Grand Total</c:v>
                </c:pt>
              </c:strCache>
            </c:strRef>
          </c:tx>
          <c:spPr>
            <a:solidFill>
              <a:srgbClr val="18A30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Summary'!$A$7:$A$11</c:f>
              <c:strCache>
                <c:ptCount val="5"/>
                <c:pt idx="0">
                  <c:v>West</c:v>
                </c:pt>
                <c:pt idx="1">
                  <c:v>East</c:v>
                </c:pt>
                <c:pt idx="2">
                  <c:v>South</c:v>
                </c:pt>
                <c:pt idx="3">
                  <c:v>North</c:v>
                </c:pt>
                <c:pt idx="4">
                  <c:v>Central</c:v>
                </c:pt>
              </c:strCache>
            </c:strRef>
          </c:cat>
          <c:val>
            <c:numRef>
              <c:f>'Pivot Summary'!$G$7:$G$11</c:f>
              <c:numCache>
                <c:formatCode>\$#,##0.00</c:formatCode>
                <c:ptCount val="5"/>
                <c:pt idx="0">
                  <c:v>44083.58</c:v>
                </c:pt>
                <c:pt idx="1">
                  <c:v>32441.640000000003</c:v>
                </c:pt>
                <c:pt idx="2">
                  <c:v>40248.79</c:v>
                </c:pt>
                <c:pt idx="3">
                  <c:v>34975.420000000006</c:v>
                </c:pt>
                <c:pt idx="4">
                  <c:v>43468.33</c:v>
                </c:pt>
              </c:numCache>
            </c:numRef>
          </c:val>
          <c:extLst>
            <c:ext xmlns:c16="http://schemas.microsoft.com/office/drawing/2014/chart" uri="{C3380CC4-5D6E-409C-BE32-E72D297353CC}">
              <c16:uniqueId val="{00000000-D5B7-4728-9BA9-209C3A719BE4}"/>
            </c:ext>
          </c:extLst>
        </c:ser>
        <c:dLbls>
          <c:showLegendKey val="0"/>
          <c:showVal val="0"/>
          <c:showCatName val="0"/>
          <c:showSerName val="0"/>
          <c:showPercent val="0"/>
          <c:showBubbleSize val="0"/>
        </c:dLbls>
        <c:gapWidth val="150"/>
        <c:axId val="11619346"/>
        <c:axId val="25973770"/>
      </c:barChart>
      <c:catAx>
        <c:axId val="1161934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25973770"/>
        <c:crosses val="autoZero"/>
        <c:auto val="1"/>
        <c:lblAlgn val="ctr"/>
        <c:lblOffset val="100"/>
        <c:noMultiLvlLbl val="0"/>
      </c:catAx>
      <c:valAx>
        <c:axId val="2597377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DejaVu Sans"/>
                  </a:defRPr>
                </a:pPr>
                <a:r>
                  <a:rPr lang="en-IN" sz="1000" b="1" strike="noStrike" spc="-1">
                    <a:solidFill>
                      <a:srgbClr val="000000"/>
                    </a:solidFill>
                    <a:latin typeface="Arial"/>
                    <a:ea typeface="DejaVu Sans"/>
                  </a:rPr>
                  <a:t>Total Sales ($)</a:t>
                </a:r>
              </a:p>
            </c:rich>
          </c:tx>
          <c:layout/>
          <c:overlay val="0"/>
          <c:spPr>
            <a:noFill/>
            <a:ln w="0">
              <a:noFill/>
            </a:ln>
          </c:spPr>
        </c:title>
        <c:numFmt formatCode="\$#,##0.00" sourceLinked="1"/>
        <c:majorTickMark val="none"/>
        <c:minorTickMark val="none"/>
        <c:tickLblPos val="nextTo"/>
        <c:spPr>
          <a:ln w="0">
            <a:solidFill>
              <a:srgbClr val="B3B3B3"/>
            </a:solidFill>
          </a:ln>
        </c:spPr>
        <c:txPr>
          <a:bodyPr/>
          <a:lstStyle/>
          <a:p>
            <a:pPr>
              <a:defRPr sz="1000" b="0" strike="noStrike" spc="-1">
                <a:solidFill>
                  <a:srgbClr val="000000"/>
                </a:solidFill>
                <a:latin typeface="Arial"/>
                <a:ea typeface="DejaVu Sans"/>
              </a:defRPr>
            </a:pPr>
            <a:endParaRPr lang="en-US"/>
          </a:p>
        </c:txPr>
        <c:crossAx val="11619346"/>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Arial"/>
              <a:ea typeface="DejaVu Sans"/>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DejaVu Sans"/>
              </a:defRPr>
            </a:pPr>
            <a:r>
              <a:rPr lang="en-IN" sz="1800" b="1" strike="noStrike" spc="-1">
                <a:solidFill>
                  <a:srgbClr val="000000"/>
                </a:solidFill>
                <a:latin typeface="Arial"/>
                <a:ea typeface="DejaVu Sans"/>
              </a:rPr>
              <a:t>Sales Share by Product Category</a:t>
            </a:r>
          </a:p>
        </c:rich>
      </c:tx>
      <c:layout/>
      <c:overlay val="0"/>
      <c:spPr>
        <a:noFill/>
        <a:ln w="0">
          <a:noFill/>
        </a:ln>
      </c:spPr>
    </c:title>
    <c:autoTitleDeleted val="0"/>
    <c:plotArea>
      <c:layout/>
      <c:pieChart>
        <c:varyColors val="1"/>
        <c:ser>
          <c:idx val="0"/>
          <c:order val="0"/>
          <c:spPr>
            <a:solidFill>
              <a:srgbClr val="18A303"/>
            </a:solidFill>
            <a:ln w="0">
              <a:noFill/>
            </a:ln>
          </c:spPr>
          <c:dPt>
            <c:idx val="0"/>
            <c:bubble3D val="0"/>
            <c:extLst>
              <c:ext xmlns:c16="http://schemas.microsoft.com/office/drawing/2014/chart" uri="{C3380CC4-5D6E-409C-BE32-E72D297353CC}">
                <c16:uniqueId val="{00000001-EC71-4087-9417-E2F5E674DB74}"/>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C71-4087-9417-E2F5E674DB74}"/>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Summary'!$B$12</c:f>
              <c:numCache>
                <c:formatCode>\$#,##0.00</c:formatCode>
                <c:ptCount val="1"/>
                <c:pt idx="0">
                  <c:v>47002.460000000006</c:v>
                </c:pt>
              </c:numCache>
            </c:numRef>
          </c:val>
          <c:extLst>
            <c:ext xmlns:c16="http://schemas.microsoft.com/office/drawing/2014/chart" uri="{C3380CC4-5D6E-409C-BE32-E72D297353CC}">
              <c16:uniqueId val="{00000002-EC71-4087-9417-E2F5E674DB74}"/>
            </c:ext>
          </c:extLst>
        </c:ser>
        <c:ser>
          <c:idx val="1"/>
          <c:order val="1"/>
          <c:spPr>
            <a:solidFill>
              <a:srgbClr val="0369A3"/>
            </a:solidFill>
            <a:ln w="0">
              <a:noFill/>
            </a:ln>
          </c:spPr>
          <c:dPt>
            <c:idx val="0"/>
            <c:bubble3D val="0"/>
            <c:spPr>
              <a:solidFill>
                <a:srgbClr val="18A303"/>
              </a:solidFill>
              <a:ln w="0">
                <a:noFill/>
              </a:ln>
            </c:spPr>
            <c:extLst>
              <c:ext xmlns:c16="http://schemas.microsoft.com/office/drawing/2014/chart" uri="{C3380CC4-5D6E-409C-BE32-E72D297353CC}">
                <c16:uniqueId val="{00000004-EC71-4087-9417-E2F5E674DB74}"/>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EC71-4087-9417-E2F5E674DB74}"/>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Summary'!$C$12</c:f>
              <c:numCache>
                <c:formatCode>\$#,##0.00</c:formatCode>
                <c:ptCount val="1"/>
                <c:pt idx="0">
                  <c:v>41927.589999999997</c:v>
                </c:pt>
              </c:numCache>
            </c:numRef>
          </c:val>
          <c:extLst>
            <c:ext xmlns:c16="http://schemas.microsoft.com/office/drawing/2014/chart" uri="{C3380CC4-5D6E-409C-BE32-E72D297353CC}">
              <c16:uniqueId val="{00000005-EC71-4087-9417-E2F5E674DB74}"/>
            </c:ext>
          </c:extLst>
        </c:ser>
        <c:ser>
          <c:idx val="2"/>
          <c:order val="2"/>
          <c:spPr>
            <a:solidFill>
              <a:srgbClr val="A33E03"/>
            </a:solidFill>
            <a:ln w="0">
              <a:noFill/>
            </a:ln>
          </c:spPr>
          <c:dPt>
            <c:idx val="0"/>
            <c:bubble3D val="0"/>
            <c:spPr>
              <a:solidFill>
                <a:srgbClr val="18A303"/>
              </a:solidFill>
              <a:ln w="0">
                <a:noFill/>
              </a:ln>
            </c:spPr>
            <c:extLst>
              <c:ext xmlns:c16="http://schemas.microsoft.com/office/drawing/2014/chart" uri="{C3380CC4-5D6E-409C-BE32-E72D297353CC}">
                <c16:uniqueId val="{00000007-EC71-4087-9417-E2F5E674DB74}"/>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C71-4087-9417-E2F5E674DB74}"/>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Summary'!$D$12</c:f>
              <c:numCache>
                <c:formatCode>\$#,##0.00</c:formatCode>
                <c:ptCount val="1"/>
                <c:pt idx="0">
                  <c:v>41044</c:v>
                </c:pt>
              </c:numCache>
            </c:numRef>
          </c:val>
          <c:extLst>
            <c:ext xmlns:c16="http://schemas.microsoft.com/office/drawing/2014/chart" uri="{C3380CC4-5D6E-409C-BE32-E72D297353CC}">
              <c16:uniqueId val="{00000008-EC71-4087-9417-E2F5E674DB74}"/>
            </c:ext>
          </c:extLst>
        </c:ser>
        <c:ser>
          <c:idx val="3"/>
          <c:order val="3"/>
          <c:spPr>
            <a:solidFill>
              <a:srgbClr val="8E03A3"/>
            </a:solidFill>
            <a:ln w="0">
              <a:noFill/>
            </a:ln>
          </c:spPr>
          <c:dPt>
            <c:idx val="0"/>
            <c:bubble3D val="0"/>
            <c:spPr>
              <a:solidFill>
                <a:srgbClr val="18A303"/>
              </a:solidFill>
              <a:ln w="0">
                <a:noFill/>
              </a:ln>
            </c:spPr>
            <c:extLst>
              <c:ext xmlns:c16="http://schemas.microsoft.com/office/drawing/2014/chart" uri="{C3380CC4-5D6E-409C-BE32-E72D297353CC}">
                <c16:uniqueId val="{0000000A-EC71-4087-9417-E2F5E674DB74}"/>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EC71-4087-9417-E2F5E674DB74}"/>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Summary'!$E$12</c:f>
              <c:numCache>
                <c:formatCode>\$#,##0.00</c:formatCode>
                <c:ptCount val="1"/>
                <c:pt idx="0">
                  <c:v>36612.89</c:v>
                </c:pt>
              </c:numCache>
            </c:numRef>
          </c:val>
          <c:extLst>
            <c:ext xmlns:c16="http://schemas.microsoft.com/office/drawing/2014/chart" uri="{C3380CC4-5D6E-409C-BE32-E72D297353CC}">
              <c16:uniqueId val="{0000000B-EC71-4087-9417-E2F5E674DB74}"/>
            </c:ext>
          </c:extLst>
        </c:ser>
        <c:ser>
          <c:idx val="4"/>
          <c:order val="4"/>
          <c:spPr>
            <a:solidFill>
              <a:srgbClr val="C99C00"/>
            </a:solidFill>
            <a:ln w="0">
              <a:noFill/>
            </a:ln>
          </c:spPr>
          <c:dPt>
            <c:idx val="0"/>
            <c:bubble3D val="0"/>
            <c:spPr>
              <a:solidFill>
                <a:srgbClr val="18A303"/>
              </a:solidFill>
              <a:ln w="0">
                <a:noFill/>
              </a:ln>
            </c:spPr>
            <c:extLst>
              <c:ext xmlns:c16="http://schemas.microsoft.com/office/drawing/2014/chart" uri="{C3380CC4-5D6E-409C-BE32-E72D297353CC}">
                <c16:uniqueId val="{0000000D-EC71-4087-9417-E2F5E674DB74}"/>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EC71-4087-9417-E2F5E674DB74}"/>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Summary'!$B$6:$F$6</c:f>
              <c:strCache>
                <c:ptCount val="5"/>
                <c:pt idx="0">
                  <c:v>Books</c:v>
                </c:pt>
                <c:pt idx="1">
                  <c:v>Clothing</c:v>
                </c:pt>
                <c:pt idx="2">
                  <c:v>Electronics</c:v>
                </c:pt>
                <c:pt idx="3">
                  <c:v>Furniture</c:v>
                </c:pt>
                <c:pt idx="4">
                  <c:v>Office Supplies</c:v>
                </c:pt>
              </c:strCache>
            </c:strRef>
          </c:cat>
          <c:val>
            <c:numRef>
              <c:f>'Pivot Summary'!$F$12</c:f>
              <c:numCache>
                <c:formatCode>\$#,##0.00</c:formatCode>
                <c:ptCount val="1"/>
                <c:pt idx="0">
                  <c:v>28630.82</c:v>
                </c:pt>
              </c:numCache>
            </c:numRef>
          </c:val>
          <c:extLst>
            <c:ext xmlns:c16="http://schemas.microsoft.com/office/drawing/2014/chart" uri="{C3380CC4-5D6E-409C-BE32-E72D297353CC}">
              <c16:uniqueId val="{0000000E-EC71-4087-9417-E2F5E674DB74}"/>
            </c:ext>
          </c:extLst>
        </c:ser>
        <c:dLbls>
          <c:showLegendKey val="0"/>
          <c:showVal val="0"/>
          <c:showCatName val="0"/>
          <c:showSerName val="0"/>
          <c:showPercent val="0"/>
          <c:showBubbleSize val="0"/>
          <c:showLeaderLines val="1"/>
        </c:dLbls>
        <c:firstSliceAng val="0"/>
      </c:pieChart>
      <c:spPr>
        <a:noFill/>
        <a:ln w="0">
          <a:noFill/>
        </a:ln>
      </c:spPr>
    </c:plotArea>
    <c:legend>
      <c:legendPos val="r"/>
      <c:layout/>
      <c:overlay val="0"/>
      <c:spPr>
        <a:noFill/>
        <a:ln w="0">
          <a:noFill/>
        </a:ln>
      </c:spPr>
      <c:txPr>
        <a:bodyPr/>
        <a:lstStyle/>
        <a:p>
          <a:pPr>
            <a:defRPr sz="1000" b="0" strike="noStrike" spc="-1">
              <a:solidFill>
                <a:srgbClr val="000000"/>
              </a:solidFill>
              <a:latin typeface="Arial"/>
              <a:ea typeface="DejaVu Sans"/>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274320</xdr:colOff>
      <xdr:row>10</xdr:row>
      <xdr:rowOff>123060</xdr:rowOff>
    </xdr:from>
    <xdr:to>
      <xdr:col>5</xdr:col>
      <xdr:colOff>387720</xdr:colOff>
      <xdr:row>25</xdr:row>
      <xdr:rowOff>145020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891540</xdr:colOff>
      <xdr:row>20</xdr:row>
      <xdr:rowOff>8760</xdr:rowOff>
    </xdr:from>
    <xdr:to>
      <xdr:col>12</xdr:col>
      <xdr:colOff>237240</xdr:colOff>
      <xdr:row>35</xdr:row>
      <xdr:rowOff>30720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236220</xdr:colOff>
      <xdr:row>36</xdr:row>
      <xdr:rowOff>68580</xdr:rowOff>
    </xdr:from>
    <xdr:to>
      <xdr:col>6</xdr:col>
      <xdr:colOff>266700</xdr:colOff>
      <xdr:row>48</xdr:row>
      <xdr:rowOff>168240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1</xdr:row>
      <xdr:rowOff>130680</xdr:rowOff>
    </xdr:from>
    <xdr:to>
      <xdr:col>17</xdr:col>
      <xdr:colOff>364680</xdr:colOff>
      <xdr:row>16</xdr:row>
      <xdr:rowOff>2160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99060</xdr:colOff>
      <xdr:row>0</xdr:row>
      <xdr:rowOff>145920</xdr:rowOff>
    </xdr:from>
    <xdr:to>
      <xdr:col>14</xdr:col>
      <xdr:colOff>355380</xdr:colOff>
      <xdr:row>14</xdr:row>
      <xdr:rowOff>116820</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19</xdr:row>
      <xdr:rowOff>130680</xdr:rowOff>
    </xdr:from>
    <xdr:to>
      <xdr:col>5</xdr:col>
      <xdr:colOff>2490480</xdr:colOff>
      <xdr:row>38</xdr:row>
      <xdr:rowOff>110880</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3</xdr:row>
      <xdr:rowOff>131040</xdr:rowOff>
    </xdr:from>
    <xdr:to>
      <xdr:col>16</xdr:col>
      <xdr:colOff>507600</xdr:colOff>
      <xdr:row>17</xdr:row>
      <xdr:rowOff>42480</xdr:rowOff>
    </xdr:to>
    <xdr:graphicFrame macro="">
      <xdr:nvGraphicFramePr>
        <xdr:cNvPr id="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18</xdr:row>
      <xdr:rowOff>20160</xdr:rowOff>
    </xdr:from>
    <xdr:to>
      <xdr:col>16</xdr:col>
      <xdr:colOff>507600</xdr:colOff>
      <xdr:row>33</xdr:row>
      <xdr:rowOff>42480</xdr:rowOff>
    </xdr:to>
    <xdr:graphicFrame macro="">
      <xdr:nvGraphicFramePr>
        <xdr:cNvPr id="7"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947"/>
  <sheetViews>
    <sheetView zoomScaleNormal="100" workbookViewId="0"/>
  </sheetViews>
  <sheetFormatPr defaultColWidth="11.5546875" defaultRowHeight="14.4" x14ac:dyDescent="0.3"/>
  <cols>
    <col min="1" max="1" width="75" style="1" customWidth="1"/>
    <col min="2" max="26" width="8.6640625" style="1" customWidth="1"/>
    <col min="27" max="1024" width="14.44140625" style="1" customWidth="1"/>
  </cols>
  <sheetData>
    <row r="1" spans="1:1" ht="13.5" customHeight="1" x14ac:dyDescent="0.3">
      <c r="A1" s="2" t="s">
        <v>0</v>
      </c>
    </row>
    <row r="2" spans="1:1" ht="390.75" customHeight="1" x14ac:dyDescent="0.3">
      <c r="A2" s="3" t="s">
        <v>1</v>
      </c>
    </row>
    <row r="3" spans="1:1" ht="13.5" customHeight="1" x14ac:dyDescent="0.3"/>
    <row r="4" spans="1:1" ht="15.75" customHeight="1" x14ac:dyDescent="0.3"/>
    <row r="5" spans="1:1" ht="15.75" customHeight="1" x14ac:dyDescent="0.3"/>
    <row r="6" spans="1:1" ht="15.75" customHeight="1" x14ac:dyDescent="0.3"/>
    <row r="7" spans="1:1" ht="15.75" customHeight="1" x14ac:dyDescent="0.3"/>
    <row r="8" spans="1:1" ht="15.75" customHeight="1" x14ac:dyDescent="0.3"/>
    <row r="9" spans="1:1" ht="15.75" customHeight="1" x14ac:dyDescent="0.3"/>
    <row r="10" spans="1:1" ht="15.75" customHeight="1" x14ac:dyDescent="0.3"/>
    <row r="11" spans="1:1" ht="15.75" customHeight="1" x14ac:dyDescent="0.3"/>
    <row r="12" spans="1:1" ht="15.75" customHeight="1" x14ac:dyDescent="0.3"/>
    <row r="13" spans="1:1" ht="15.75" customHeight="1" x14ac:dyDescent="0.3"/>
    <row r="14" spans="1:1" ht="15.75" customHeight="1" x14ac:dyDescent="0.3"/>
    <row r="15" spans="1:1" ht="15.75" customHeight="1" x14ac:dyDescent="0.3"/>
    <row r="16" spans="1:1"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J1000"/>
  <sheetViews>
    <sheetView zoomScaleNormal="100" workbookViewId="0">
      <pane ySplit="1" topLeftCell="A2" activePane="bottomLeft" state="frozen"/>
      <selection pane="bottomLeft"/>
    </sheetView>
  </sheetViews>
  <sheetFormatPr defaultColWidth="11.5546875" defaultRowHeight="14.4" x14ac:dyDescent="0.3"/>
  <cols>
    <col min="1" max="1" width="12" style="1" customWidth="1"/>
    <col min="2" max="2" width="16" style="1" customWidth="1"/>
    <col min="3" max="3" width="10" style="1" customWidth="1"/>
    <col min="4" max="4" width="16" style="1" customWidth="1"/>
    <col min="5" max="5" width="11" style="1" customWidth="1"/>
    <col min="6" max="7" width="10" style="1" customWidth="1"/>
    <col min="8" max="8" width="12" style="1" customWidth="1"/>
    <col min="9" max="9" width="10" style="1" customWidth="1"/>
    <col min="10" max="26" width="18" style="1" customWidth="1"/>
    <col min="27" max="1024" width="14.44140625" style="1" customWidth="1"/>
  </cols>
  <sheetData>
    <row r="1" spans="1:26" ht="13.5" customHeight="1" x14ac:dyDescent="0.3">
      <c r="A1" s="4" t="s">
        <v>2</v>
      </c>
      <c r="B1" s="4" t="s">
        <v>3</v>
      </c>
      <c r="C1" s="4" t="s">
        <v>4</v>
      </c>
      <c r="D1" s="4" t="s">
        <v>5</v>
      </c>
      <c r="E1" s="4" t="s">
        <v>6</v>
      </c>
      <c r="F1" s="4" t="s">
        <v>7</v>
      </c>
      <c r="G1" s="4" t="s">
        <v>8</v>
      </c>
      <c r="H1" s="4" t="s">
        <v>9</v>
      </c>
      <c r="I1" s="4" t="s">
        <v>10</v>
      </c>
      <c r="J1" s="5" t="s">
        <v>11</v>
      </c>
      <c r="K1" s="5" t="s">
        <v>12</v>
      </c>
      <c r="L1" s="5" t="s">
        <v>13</v>
      </c>
      <c r="M1" s="4"/>
      <c r="N1" s="4"/>
      <c r="O1" s="4"/>
      <c r="P1" s="4"/>
      <c r="Q1" s="4"/>
      <c r="R1" s="4"/>
      <c r="S1" s="4"/>
      <c r="T1" s="4"/>
      <c r="U1" s="4"/>
      <c r="V1" s="4"/>
      <c r="W1" s="4"/>
      <c r="X1" s="4"/>
      <c r="Y1" s="4"/>
      <c r="Z1" s="4"/>
    </row>
    <row r="2" spans="1:26" ht="13.5" customHeight="1" x14ac:dyDescent="0.3">
      <c r="A2" s="6" t="s">
        <v>14</v>
      </c>
      <c r="B2" s="6" t="s">
        <v>15</v>
      </c>
      <c r="C2" s="6" t="s">
        <v>16</v>
      </c>
      <c r="D2" s="6" t="s">
        <v>17</v>
      </c>
      <c r="E2" s="6">
        <v>1036.0899999999999</v>
      </c>
      <c r="F2" s="6">
        <v>4</v>
      </c>
      <c r="G2" s="6">
        <v>0.2</v>
      </c>
      <c r="H2" s="7">
        <v>45392</v>
      </c>
      <c r="I2" s="1">
        <v>331.55</v>
      </c>
      <c r="J2" s="8">
        <f t="shared" ref="J2:J33" si="0">SUMIF($A$2:$A$201,A2,$E$2:$E$201)</f>
        <v>4640.1099999999997</v>
      </c>
      <c r="K2" s="9">
        <f t="shared" ref="K2:K33" si="1">RANK(J2,$J$2:$J$201)</f>
        <v>159</v>
      </c>
      <c r="L2" s="10">
        <f t="shared" ref="L2:L33" ca="1" si="2">NOW()</f>
        <v>46280.699263773146</v>
      </c>
    </row>
    <row r="3" spans="1:26" ht="13.5" customHeight="1" x14ac:dyDescent="0.3">
      <c r="A3" s="6" t="s">
        <v>18</v>
      </c>
      <c r="B3" s="6" t="s">
        <v>19</v>
      </c>
      <c r="C3" s="6" t="s">
        <v>16</v>
      </c>
      <c r="D3" s="6" t="s">
        <v>20</v>
      </c>
      <c r="E3" s="6">
        <v>1101.28</v>
      </c>
      <c r="F3" s="6">
        <v>3</v>
      </c>
      <c r="G3" s="6">
        <v>0.2</v>
      </c>
      <c r="H3" s="7">
        <v>45393</v>
      </c>
      <c r="I3" s="1">
        <v>440.51</v>
      </c>
      <c r="J3" s="8">
        <f t="shared" si="0"/>
        <v>8339</v>
      </c>
      <c r="K3" s="9">
        <f t="shared" si="1"/>
        <v>70</v>
      </c>
      <c r="L3" s="10">
        <f t="shared" ca="1" si="2"/>
        <v>46280.699263773146</v>
      </c>
    </row>
    <row r="4" spans="1:26" ht="13.5" customHeight="1" x14ac:dyDescent="0.3">
      <c r="A4" s="6" t="s">
        <v>21</v>
      </c>
      <c r="B4" s="6" t="s">
        <v>22</v>
      </c>
      <c r="C4" s="6" t="s">
        <v>23</v>
      </c>
      <c r="D4" s="6" t="s">
        <v>17</v>
      </c>
      <c r="E4" s="6">
        <v>713.34</v>
      </c>
      <c r="F4" s="6">
        <v>17</v>
      </c>
      <c r="G4" s="6">
        <v>0</v>
      </c>
      <c r="H4" s="7">
        <v>45396</v>
      </c>
      <c r="I4" s="1">
        <v>285.33999999999997</v>
      </c>
      <c r="J4" s="8">
        <f t="shared" si="0"/>
        <v>3419.2</v>
      </c>
      <c r="K4" s="9">
        <f t="shared" si="1"/>
        <v>191</v>
      </c>
      <c r="L4" s="10">
        <f t="shared" ca="1" si="2"/>
        <v>46280.699263773146</v>
      </c>
    </row>
    <row r="5" spans="1:26" ht="13.5" customHeight="1" x14ac:dyDescent="0.3">
      <c r="A5" s="6" t="s">
        <v>24</v>
      </c>
      <c r="B5" s="6" t="s">
        <v>19</v>
      </c>
      <c r="C5" s="6" t="s">
        <v>25</v>
      </c>
      <c r="D5" s="6" t="s">
        <v>26</v>
      </c>
      <c r="E5" s="6">
        <v>760.93</v>
      </c>
      <c r="F5" s="6">
        <v>4</v>
      </c>
      <c r="G5" s="6">
        <v>0.15</v>
      </c>
      <c r="H5" s="7">
        <v>45396</v>
      </c>
      <c r="I5" s="1">
        <v>161.69999999999999</v>
      </c>
      <c r="J5" s="8">
        <f t="shared" si="0"/>
        <v>6666.130000000001</v>
      </c>
      <c r="K5" s="9">
        <f t="shared" si="1"/>
        <v>114</v>
      </c>
      <c r="L5" s="10">
        <f t="shared" ca="1" si="2"/>
        <v>46280.699263773146</v>
      </c>
    </row>
    <row r="6" spans="1:26" ht="13.5" customHeight="1" x14ac:dyDescent="0.3">
      <c r="A6" s="6" t="s">
        <v>27</v>
      </c>
      <c r="B6" s="6" t="s">
        <v>28</v>
      </c>
      <c r="C6" s="6" t="s">
        <v>29</v>
      </c>
      <c r="D6" s="6" t="s">
        <v>17</v>
      </c>
      <c r="E6" s="6">
        <v>847</v>
      </c>
      <c r="F6" s="6">
        <v>12</v>
      </c>
      <c r="G6" s="6">
        <v>0.2</v>
      </c>
      <c r="H6" s="7">
        <v>45397</v>
      </c>
      <c r="I6" s="1">
        <v>271.04000000000002</v>
      </c>
      <c r="J6" s="8">
        <f t="shared" si="0"/>
        <v>7928.71</v>
      </c>
      <c r="K6" s="9">
        <f t="shared" si="1"/>
        <v>79</v>
      </c>
      <c r="L6" s="10">
        <f t="shared" ca="1" si="2"/>
        <v>46280.699263773146</v>
      </c>
    </row>
    <row r="7" spans="1:26" ht="13.5" customHeight="1" x14ac:dyDescent="0.3">
      <c r="A7" s="6" t="s">
        <v>30</v>
      </c>
      <c r="B7" s="6" t="s">
        <v>31</v>
      </c>
      <c r="C7" s="6" t="s">
        <v>29</v>
      </c>
      <c r="D7" s="6" t="s">
        <v>32</v>
      </c>
      <c r="E7" s="6">
        <v>965.64</v>
      </c>
      <c r="F7" s="6">
        <v>8</v>
      </c>
      <c r="G7" s="6">
        <v>0.1</v>
      </c>
      <c r="H7" s="7">
        <v>45398</v>
      </c>
      <c r="I7" s="1">
        <v>304.18</v>
      </c>
      <c r="J7" s="8">
        <f t="shared" si="0"/>
        <v>9941.8799999999992</v>
      </c>
      <c r="K7" s="9">
        <f t="shared" si="1"/>
        <v>24</v>
      </c>
      <c r="L7" s="10">
        <f t="shared" ca="1" si="2"/>
        <v>46280.699263773146</v>
      </c>
    </row>
    <row r="8" spans="1:26" ht="13.5" customHeight="1" x14ac:dyDescent="0.3">
      <c r="A8" s="6" t="s">
        <v>33</v>
      </c>
      <c r="B8" s="6" t="s">
        <v>34</v>
      </c>
      <c r="C8" s="6" t="s">
        <v>16</v>
      </c>
      <c r="D8" s="6" t="s">
        <v>26</v>
      </c>
      <c r="E8" s="6">
        <v>1317.53</v>
      </c>
      <c r="F8" s="6">
        <v>12</v>
      </c>
      <c r="G8" s="6">
        <v>0.05</v>
      </c>
      <c r="H8" s="7">
        <v>45398</v>
      </c>
      <c r="I8" s="1">
        <v>312.91000000000003</v>
      </c>
      <c r="J8" s="8">
        <f t="shared" si="0"/>
        <v>6549.55</v>
      </c>
      <c r="K8" s="9">
        <f t="shared" si="1"/>
        <v>120</v>
      </c>
      <c r="L8" s="10">
        <f t="shared" ca="1" si="2"/>
        <v>46280.699263773146</v>
      </c>
    </row>
    <row r="9" spans="1:26" ht="13.5" customHeight="1" x14ac:dyDescent="0.3">
      <c r="A9" s="6" t="s">
        <v>35</v>
      </c>
      <c r="B9" s="6" t="s">
        <v>36</v>
      </c>
      <c r="C9" s="6" t="s">
        <v>23</v>
      </c>
      <c r="D9" s="6" t="s">
        <v>32</v>
      </c>
      <c r="E9" s="6">
        <v>1074.47</v>
      </c>
      <c r="F9" s="6">
        <v>6</v>
      </c>
      <c r="G9" s="6">
        <v>0.2</v>
      </c>
      <c r="H9" s="7">
        <v>45401</v>
      </c>
      <c r="I9" s="1">
        <v>300.85000000000002</v>
      </c>
      <c r="J9" s="8">
        <f t="shared" si="0"/>
        <v>9371.81</v>
      </c>
      <c r="K9" s="9">
        <f t="shared" si="1"/>
        <v>44</v>
      </c>
      <c r="L9" s="10">
        <f t="shared" ca="1" si="2"/>
        <v>46280.699263773146</v>
      </c>
    </row>
    <row r="10" spans="1:26" ht="13.5" customHeight="1" x14ac:dyDescent="0.3">
      <c r="A10" s="6" t="s">
        <v>37</v>
      </c>
      <c r="B10" s="6" t="s">
        <v>38</v>
      </c>
      <c r="C10" s="6" t="s">
        <v>39</v>
      </c>
      <c r="D10" s="6" t="s">
        <v>17</v>
      </c>
      <c r="E10" s="6">
        <v>501.54</v>
      </c>
      <c r="F10" s="6">
        <v>11</v>
      </c>
      <c r="G10" s="6">
        <v>0.05</v>
      </c>
      <c r="H10" s="7">
        <v>45401</v>
      </c>
      <c r="I10" s="1">
        <v>190.59</v>
      </c>
      <c r="J10" s="8">
        <f t="shared" si="0"/>
        <v>6505.2</v>
      </c>
      <c r="K10" s="9">
        <f t="shared" si="1"/>
        <v>127</v>
      </c>
      <c r="L10" s="10">
        <f t="shared" ca="1" si="2"/>
        <v>46280.699263773146</v>
      </c>
    </row>
    <row r="11" spans="1:26" ht="13.5" customHeight="1" x14ac:dyDescent="0.3">
      <c r="A11" s="6" t="s">
        <v>40</v>
      </c>
      <c r="B11" s="6" t="s">
        <v>41</v>
      </c>
      <c r="C11" s="6" t="s">
        <v>39</v>
      </c>
      <c r="D11" s="6" t="s">
        <v>20</v>
      </c>
      <c r="E11" s="6">
        <v>737.31</v>
      </c>
      <c r="F11" s="6">
        <v>2</v>
      </c>
      <c r="G11" s="6">
        <v>0.05</v>
      </c>
      <c r="H11" s="7">
        <v>45401</v>
      </c>
      <c r="I11" s="1">
        <v>350.22</v>
      </c>
      <c r="J11" s="8">
        <f t="shared" si="0"/>
        <v>4259.22</v>
      </c>
      <c r="K11" s="9">
        <f t="shared" si="1"/>
        <v>173</v>
      </c>
      <c r="L11" s="10">
        <f t="shared" ca="1" si="2"/>
        <v>46280.699263773146</v>
      </c>
    </row>
    <row r="12" spans="1:26" ht="13.5" customHeight="1" x14ac:dyDescent="0.3">
      <c r="A12" s="6" t="s">
        <v>42</v>
      </c>
      <c r="B12" s="6" t="s">
        <v>43</v>
      </c>
      <c r="C12" s="6" t="s">
        <v>16</v>
      </c>
      <c r="D12" s="6" t="s">
        <v>44</v>
      </c>
      <c r="E12" s="6">
        <v>1572.82</v>
      </c>
      <c r="F12" s="6">
        <v>6</v>
      </c>
      <c r="G12" s="6">
        <v>0.05</v>
      </c>
      <c r="H12" s="7">
        <v>45402</v>
      </c>
      <c r="I12" s="1">
        <v>672.38</v>
      </c>
      <c r="J12" s="8">
        <f t="shared" si="0"/>
        <v>6729.8899999999994</v>
      </c>
      <c r="K12" s="9">
        <f t="shared" si="1"/>
        <v>102</v>
      </c>
      <c r="L12" s="10">
        <f t="shared" ca="1" si="2"/>
        <v>46280.699263773146</v>
      </c>
    </row>
    <row r="13" spans="1:26" ht="13.5" customHeight="1" x14ac:dyDescent="0.3">
      <c r="A13" s="6" t="s">
        <v>42</v>
      </c>
      <c r="B13" s="6" t="s">
        <v>41</v>
      </c>
      <c r="C13" s="6" t="s">
        <v>39</v>
      </c>
      <c r="D13" s="6" t="s">
        <v>17</v>
      </c>
      <c r="E13" s="6">
        <v>1343.13</v>
      </c>
      <c r="F13" s="6">
        <v>14</v>
      </c>
      <c r="G13" s="6">
        <v>0.15</v>
      </c>
      <c r="H13" s="7">
        <v>45404</v>
      </c>
      <c r="I13" s="1">
        <v>456.66</v>
      </c>
      <c r="J13" s="8">
        <f t="shared" si="0"/>
        <v>6729.8899999999994</v>
      </c>
      <c r="K13" s="9">
        <f t="shared" si="1"/>
        <v>102</v>
      </c>
      <c r="L13" s="10">
        <f t="shared" ca="1" si="2"/>
        <v>46280.699263773146</v>
      </c>
    </row>
    <row r="14" spans="1:26" ht="13.5" customHeight="1" x14ac:dyDescent="0.3">
      <c r="A14" s="6" t="s">
        <v>30</v>
      </c>
      <c r="B14" s="6" t="s">
        <v>31</v>
      </c>
      <c r="C14" s="6" t="s">
        <v>39</v>
      </c>
      <c r="D14" s="6" t="s">
        <v>17</v>
      </c>
      <c r="E14" s="6">
        <v>1191.58</v>
      </c>
      <c r="F14" s="6">
        <v>14</v>
      </c>
      <c r="G14" s="6">
        <v>0.05</v>
      </c>
      <c r="H14" s="7">
        <v>45406</v>
      </c>
      <c r="I14" s="1">
        <v>452.8</v>
      </c>
      <c r="J14" s="8">
        <f t="shared" si="0"/>
        <v>9941.8799999999992</v>
      </c>
      <c r="K14" s="9">
        <f t="shared" si="1"/>
        <v>24</v>
      </c>
      <c r="L14" s="10">
        <f t="shared" ca="1" si="2"/>
        <v>46280.699263773146</v>
      </c>
    </row>
    <row r="15" spans="1:26" ht="13.5" customHeight="1" x14ac:dyDescent="0.3">
      <c r="A15" s="6" t="s">
        <v>45</v>
      </c>
      <c r="B15" s="6" t="s">
        <v>19</v>
      </c>
      <c r="C15" s="6" t="s">
        <v>16</v>
      </c>
      <c r="D15" s="6" t="s">
        <v>32</v>
      </c>
      <c r="E15" s="6">
        <v>822.28</v>
      </c>
      <c r="F15" s="6">
        <v>7</v>
      </c>
      <c r="G15" s="6">
        <v>0.05</v>
      </c>
      <c r="H15" s="7">
        <v>45406</v>
      </c>
      <c r="I15" s="1">
        <v>273.41000000000003</v>
      </c>
      <c r="J15" s="8">
        <f t="shared" si="0"/>
        <v>5913.68</v>
      </c>
      <c r="K15" s="9">
        <f t="shared" si="1"/>
        <v>140</v>
      </c>
      <c r="L15" s="10">
        <f t="shared" ca="1" si="2"/>
        <v>46280.699263773146</v>
      </c>
    </row>
    <row r="16" spans="1:26" ht="13.5" customHeight="1" x14ac:dyDescent="0.3">
      <c r="A16" s="6" t="s">
        <v>46</v>
      </c>
      <c r="B16" s="6" t="s">
        <v>47</v>
      </c>
      <c r="C16" s="6" t="s">
        <v>29</v>
      </c>
      <c r="D16" s="6" t="s">
        <v>32</v>
      </c>
      <c r="E16" s="6">
        <v>521.66999999999996</v>
      </c>
      <c r="F16" s="6">
        <v>15</v>
      </c>
      <c r="G16" s="6">
        <v>0.15</v>
      </c>
      <c r="H16" s="7">
        <v>45409</v>
      </c>
      <c r="I16" s="1">
        <v>155.19999999999999</v>
      </c>
      <c r="J16" s="8">
        <f t="shared" si="0"/>
        <v>5779.05</v>
      </c>
      <c r="K16" s="9">
        <f t="shared" si="1"/>
        <v>147</v>
      </c>
      <c r="L16" s="10">
        <f t="shared" ca="1" si="2"/>
        <v>46280.699263773146</v>
      </c>
    </row>
    <row r="17" spans="1:12" ht="13.5" customHeight="1" x14ac:dyDescent="0.3">
      <c r="A17" s="6" t="s">
        <v>24</v>
      </c>
      <c r="B17" s="6" t="s">
        <v>48</v>
      </c>
      <c r="C17" s="6" t="s">
        <v>25</v>
      </c>
      <c r="D17" s="6" t="s">
        <v>26</v>
      </c>
      <c r="E17" s="6">
        <v>1502.93</v>
      </c>
      <c r="F17" s="6">
        <v>14</v>
      </c>
      <c r="G17" s="6">
        <v>0.2</v>
      </c>
      <c r="H17" s="7">
        <v>45410</v>
      </c>
      <c r="I17" s="1">
        <v>300.58999999999997</v>
      </c>
      <c r="J17" s="8">
        <f t="shared" si="0"/>
        <v>6666.130000000001</v>
      </c>
      <c r="K17" s="9">
        <f t="shared" si="1"/>
        <v>114</v>
      </c>
      <c r="L17" s="10">
        <f t="shared" ca="1" si="2"/>
        <v>46280.699263773146</v>
      </c>
    </row>
    <row r="18" spans="1:12" ht="13.5" customHeight="1" x14ac:dyDescent="0.3">
      <c r="A18" s="6" t="s">
        <v>49</v>
      </c>
      <c r="B18" s="6" t="s">
        <v>19</v>
      </c>
      <c r="C18" s="6" t="s">
        <v>25</v>
      </c>
      <c r="D18" s="6" t="s">
        <v>17</v>
      </c>
      <c r="E18" s="6">
        <v>877.58</v>
      </c>
      <c r="F18" s="6">
        <v>10</v>
      </c>
      <c r="G18" s="6">
        <v>0.15</v>
      </c>
      <c r="H18" s="7">
        <v>45411</v>
      </c>
      <c r="I18" s="1">
        <v>298.38</v>
      </c>
      <c r="J18" s="8">
        <f t="shared" si="0"/>
        <v>9760.7999999999993</v>
      </c>
      <c r="K18" s="9">
        <f t="shared" si="1"/>
        <v>34</v>
      </c>
      <c r="L18" s="10">
        <f t="shared" ca="1" si="2"/>
        <v>46280.699263773146</v>
      </c>
    </row>
    <row r="19" spans="1:12" ht="13.5" customHeight="1" x14ac:dyDescent="0.3">
      <c r="A19" s="6" t="s">
        <v>33</v>
      </c>
      <c r="B19" s="6" t="s">
        <v>50</v>
      </c>
      <c r="C19" s="6" t="s">
        <v>16</v>
      </c>
      <c r="D19" s="6" t="s">
        <v>17</v>
      </c>
      <c r="E19" s="6">
        <v>636.70000000000005</v>
      </c>
      <c r="F19" s="6">
        <v>4</v>
      </c>
      <c r="G19" s="6">
        <v>0.2</v>
      </c>
      <c r="H19" s="7">
        <v>45411</v>
      </c>
      <c r="I19" s="1">
        <v>203.74</v>
      </c>
      <c r="J19" s="8">
        <f t="shared" si="0"/>
        <v>6549.55</v>
      </c>
      <c r="K19" s="9">
        <f t="shared" si="1"/>
        <v>120</v>
      </c>
      <c r="L19" s="10">
        <f t="shared" ca="1" si="2"/>
        <v>46280.699263773146</v>
      </c>
    </row>
    <row r="20" spans="1:12" ht="13.5" customHeight="1" x14ac:dyDescent="0.3">
      <c r="A20" s="6" t="s">
        <v>51</v>
      </c>
      <c r="B20" s="6" t="s">
        <v>52</v>
      </c>
      <c r="C20" s="6" t="s">
        <v>16</v>
      </c>
      <c r="D20" s="6" t="s">
        <v>17</v>
      </c>
      <c r="E20" s="6">
        <v>1506.14</v>
      </c>
      <c r="F20" s="6">
        <v>13</v>
      </c>
      <c r="G20" s="6">
        <v>0.2</v>
      </c>
      <c r="H20" s="7">
        <v>45412</v>
      </c>
      <c r="I20" s="1">
        <v>481.96</v>
      </c>
      <c r="J20" s="8">
        <f t="shared" si="0"/>
        <v>2699.75</v>
      </c>
      <c r="K20" s="9">
        <f t="shared" si="1"/>
        <v>199</v>
      </c>
      <c r="L20" s="10">
        <f t="shared" ca="1" si="2"/>
        <v>46280.699263773146</v>
      </c>
    </row>
    <row r="21" spans="1:12" ht="15.75" customHeight="1" x14ac:dyDescent="0.3">
      <c r="A21" s="6" t="s">
        <v>35</v>
      </c>
      <c r="B21" s="6" t="s">
        <v>36</v>
      </c>
      <c r="C21" s="6" t="s">
        <v>39</v>
      </c>
      <c r="D21" s="6" t="s">
        <v>26</v>
      </c>
      <c r="E21" s="6">
        <v>645.02</v>
      </c>
      <c r="F21" s="6">
        <v>4</v>
      </c>
      <c r="G21" s="6">
        <v>0</v>
      </c>
      <c r="H21" s="7">
        <v>45414</v>
      </c>
      <c r="I21" s="1">
        <v>161.26</v>
      </c>
      <c r="J21" s="8">
        <f t="shared" si="0"/>
        <v>9371.81</v>
      </c>
      <c r="K21" s="9">
        <f t="shared" si="1"/>
        <v>44</v>
      </c>
      <c r="L21" s="10">
        <f t="shared" ca="1" si="2"/>
        <v>46280.699263773146</v>
      </c>
    </row>
    <row r="22" spans="1:12" ht="15.75" customHeight="1" x14ac:dyDescent="0.3">
      <c r="A22" s="6" t="s">
        <v>30</v>
      </c>
      <c r="B22" s="6" t="s">
        <v>53</v>
      </c>
      <c r="C22" s="6" t="s">
        <v>25</v>
      </c>
      <c r="D22" s="6" t="s">
        <v>20</v>
      </c>
      <c r="E22" s="6">
        <v>953.3</v>
      </c>
      <c r="F22" s="6">
        <v>11</v>
      </c>
      <c r="G22" s="6">
        <v>0</v>
      </c>
      <c r="H22" s="7">
        <v>45415</v>
      </c>
      <c r="I22" s="1">
        <v>476.65</v>
      </c>
      <c r="J22" s="8">
        <f t="shared" si="0"/>
        <v>9941.8799999999992</v>
      </c>
      <c r="K22" s="9">
        <f t="shared" si="1"/>
        <v>24</v>
      </c>
      <c r="L22" s="10">
        <f t="shared" ca="1" si="2"/>
        <v>46280.699263773146</v>
      </c>
    </row>
    <row r="23" spans="1:12" ht="15.75" customHeight="1" x14ac:dyDescent="0.3">
      <c r="A23" s="6" t="s">
        <v>54</v>
      </c>
      <c r="B23" s="6" t="s">
        <v>19</v>
      </c>
      <c r="C23" s="6" t="s">
        <v>29</v>
      </c>
      <c r="D23" s="6" t="s">
        <v>26</v>
      </c>
      <c r="E23" s="6">
        <v>388.56</v>
      </c>
      <c r="F23" s="6">
        <v>14</v>
      </c>
      <c r="G23" s="6">
        <v>0.15</v>
      </c>
      <c r="H23" s="7">
        <v>45416</v>
      </c>
      <c r="I23" s="1">
        <v>82.57</v>
      </c>
      <c r="J23" s="8">
        <f t="shared" si="0"/>
        <v>4418.2800000000007</v>
      </c>
      <c r="K23" s="9">
        <f t="shared" si="1"/>
        <v>164</v>
      </c>
      <c r="L23" s="10">
        <f t="shared" ca="1" si="2"/>
        <v>46280.699263773146</v>
      </c>
    </row>
    <row r="24" spans="1:12" ht="15.75" customHeight="1" x14ac:dyDescent="0.3">
      <c r="A24" s="6" t="s">
        <v>14</v>
      </c>
      <c r="B24" s="6" t="s">
        <v>36</v>
      </c>
      <c r="C24" s="6" t="s">
        <v>16</v>
      </c>
      <c r="D24" s="6" t="s">
        <v>17</v>
      </c>
      <c r="E24" s="6">
        <v>743.17</v>
      </c>
      <c r="F24" s="6">
        <v>9</v>
      </c>
      <c r="G24" s="6">
        <v>0</v>
      </c>
      <c r="H24" s="7">
        <v>45416</v>
      </c>
      <c r="I24" s="1">
        <v>297.27</v>
      </c>
      <c r="J24" s="8">
        <f t="shared" si="0"/>
        <v>4640.1099999999997</v>
      </c>
      <c r="K24" s="9">
        <f t="shared" si="1"/>
        <v>159</v>
      </c>
      <c r="L24" s="10">
        <f t="shared" ca="1" si="2"/>
        <v>46280.699263773146</v>
      </c>
    </row>
    <row r="25" spans="1:12" ht="15.75" customHeight="1" x14ac:dyDescent="0.3">
      <c r="A25" s="6" t="s">
        <v>45</v>
      </c>
      <c r="B25" s="6" t="s">
        <v>36</v>
      </c>
      <c r="C25" s="6" t="s">
        <v>39</v>
      </c>
      <c r="D25" s="6" t="s">
        <v>26</v>
      </c>
      <c r="E25" s="6">
        <v>706.37</v>
      </c>
      <c r="F25" s="6">
        <v>6</v>
      </c>
      <c r="G25" s="6">
        <v>0</v>
      </c>
      <c r="H25" s="7">
        <v>45416</v>
      </c>
      <c r="I25" s="1">
        <v>176.59</v>
      </c>
      <c r="J25" s="8">
        <f t="shared" si="0"/>
        <v>5913.68</v>
      </c>
      <c r="K25" s="9">
        <f t="shared" si="1"/>
        <v>140</v>
      </c>
      <c r="L25" s="10">
        <f t="shared" ca="1" si="2"/>
        <v>46280.699263773146</v>
      </c>
    </row>
    <row r="26" spans="1:12" ht="15.75" customHeight="1" x14ac:dyDescent="0.3">
      <c r="A26" s="6" t="s">
        <v>18</v>
      </c>
      <c r="B26" s="6" t="s">
        <v>36</v>
      </c>
      <c r="C26" s="6" t="s">
        <v>39</v>
      </c>
      <c r="D26" s="6" t="s">
        <v>44</v>
      </c>
      <c r="E26" s="6">
        <v>925.31</v>
      </c>
      <c r="F26" s="6">
        <v>8</v>
      </c>
      <c r="G26" s="6">
        <v>0.1</v>
      </c>
      <c r="H26" s="7">
        <v>45418</v>
      </c>
      <c r="I26" s="1">
        <v>374.75</v>
      </c>
      <c r="J26" s="8">
        <f t="shared" si="0"/>
        <v>8339</v>
      </c>
      <c r="K26" s="9">
        <f t="shared" si="1"/>
        <v>70</v>
      </c>
      <c r="L26" s="10">
        <f t="shared" ca="1" si="2"/>
        <v>46280.699263773146</v>
      </c>
    </row>
    <row r="27" spans="1:12" ht="15.75" customHeight="1" x14ac:dyDescent="0.3">
      <c r="A27" s="6" t="s">
        <v>40</v>
      </c>
      <c r="B27" s="6" t="s">
        <v>55</v>
      </c>
      <c r="C27" s="6" t="s">
        <v>25</v>
      </c>
      <c r="D27" s="6" t="s">
        <v>26</v>
      </c>
      <c r="E27" s="6">
        <v>1173.1199999999999</v>
      </c>
      <c r="F27" s="6">
        <v>18</v>
      </c>
      <c r="G27" s="6">
        <v>0</v>
      </c>
      <c r="H27" s="7">
        <v>45418</v>
      </c>
      <c r="I27" s="1">
        <v>293.27999999999997</v>
      </c>
      <c r="J27" s="8">
        <f t="shared" si="0"/>
        <v>4259.22</v>
      </c>
      <c r="K27" s="9">
        <f t="shared" si="1"/>
        <v>173</v>
      </c>
      <c r="L27" s="10">
        <f t="shared" ca="1" si="2"/>
        <v>46280.699263773146</v>
      </c>
    </row>
    <row r="28" spans="1:12" ht="15.75" customHeight="1" x14ac:dyDescent="0.3">
      <c r="A28" s="6" t="s">
        <v>27</v>
      </c>
      <c r="B28" s="6" t="s">
        <v>56</v>
      </c>
      <c r="C28" s="6" t="s">
        <v>29</v>
      </c>
      <c r="D28" s="6" t="s">
        <v>32</v>
      </c>
      <c r="E28" s="6">
        <v>675.54</v>
      </c>
      <c r="F28" s="6">
        <v>17</v>
      </c>
      <c r="G28" s="6">
        <v>0</v>
      </c>
      <c r="H28" s="7">
        <v>45420</v>
      </c>
      <c r="I28" s="1">
        <v>236.44</v>
      </c>
      <c r="J28" s="8">
        <f t="shared" si="0"/>
        <v>7928.71</v>
      </c>
      <c r="K28" s="9">
        <f t="shared" si="1"/>
        <v>79</v>
      </c>
      <c r="L28" s="10">
        <f t="shared" ca="1" si="2"/>
        <v>46280.699263773146</v>
      </c>
    </row>
    <row r="29" spans="1:12" ht="15.75" customHeight="1" x14ac:dyDescent="0.3">
      <c r="A29" s="6" t="s">
        <v>30</v>
      </c>
      <c r="B29" s="6" t="s">
        <v>19</v>
      </c>
      <c r="C29" s="6" t="s">
        <v>39</v>
      </c>
      <c r="D29" s="6" t="s">
        <v>17</v>
      </c>
      <c r="E29" s="6">
        <v>939.09</v>
      </c>
      <c r="F29" s="6">
        <v>2</v>
      </c>
      <c r="G29" s="6">
        <v>0.05</v>
      </c>
      <c r="H29" s="7">
        <v>45422</v>
      </c>
      <c r="I29" s="1">
        <v>356.85</v>
      </c>
      <c r="J29" s="8">
        <f t="shared" si="0"/>
        <v>9941.8799999999992</v>
      </c>
      <c r="K29" s="9">
        <f t="shared" si="1"/>
        <v>24</v>
      </c>
      <c r="L29" s="10">
        <f t="shared" ca="1" si="2"/>
        <v>46280.699263773146</v>
      </c>
    </row>
    <row r="30" spans="1:12" ht="15.75" customHeight="1" x14ac:dyDescent="0.3">
      <c r="A30" s="6" t="s">
        <v>57</v>
      </c>
      <c r="B30" s="6" t="s">
        <v>58</v>
      </c>
      <c r="C30" s="6" t="s">
        <v>23</v>
      </c>
      <c r="D30" s="6" t="s">
        <v>44</v>
      </c>
      <c r="E30" s="6">
        <v>983.34</v>
      </c>
      <c r="F30" s="6">
        <v>19</v>
      </c>
      <c r="G30" s="6">
        <v>0.1</v>
      </c>
      <c r="H30" s="7">
        <v>45426</v>
      </c>
      <c r="I30" s="1">
        <v>398.25</v>
      </c>
      <c r="J30" s="8">
        <f t="shared" si="0"/>
        <v>10293.870000000001</v>
      </c>
      <c r="K30" s="9">
        <f t="shared" si="1"/>
        <v>12</v>
      </c>
      <c r="L30" s="10">
        <f t="shared" ca="1" si="2"/>
        <v>46280.699263773146</v>
      </c>
    </row>
    <row r="31" spans="1:12" ht="15.75" customHeight="1" x14ac:dyDescent="0.3">
      <c r="A31" s="6" t="s">
        <v>57</v>
      </c>
      <c r="B31" s="6" t="s">
        <v>28</v>
      </c>
      <c r="C31" s="6" t="s">
        <v>25</v>
      </c>
      <c r="D31" s="6" t="s">
        <v>26</v>
      </c>
      <c r="E31" s="6">
        <v>801.21</v>
      </c>
      <c r="F31" s="6">
        <v>3</v>
      </c>
      <c r="G31" s="6">
        <v>0.2</v>
      </c>
      <c r="H31" s="7">
        <v>45426</v>
      </c>
      <c r="I31" s="1">
        <v>160.24</v>
      </c>
      <c r="J31" s="8">
        <f t="shared" si="0"/>
        <v>10293.870000000001</v>
      </c>
      <c r="K31" s="9">
        <f t="shared" si="1"/>
        <v>12</v>
      </c>
      <c r="L31" s="10">
        <f t="shared" ca="1" si="2"/>
        <v>46280.699263773146</v>
      </c>
    </row>
    <row r="32" spans="1:12" ht="15.75" customHeight="1" x14ac:dyDescent="0.3">
      <c r="A32" s="6" t="s">
        <v>59</v>
      </c>
      <c r="B32" s="6" t="s">
        <v>60</v>
      </c>
      <c r="C32" s="6" t="s">
        <v>29</v>
      </c>
      <c r="D32" s="6" t="s">
        <v>26</v>
      </c>
      <c r="E32" s="6">
        <v>1450.71</v>
      </c>
      <c r="F32" s="6">
        <v>5</v>
      </c>
      <c r="G32" s="6">
        <v>0.1</v>
      </c>
      <c r="H32" s="7">
        <v>45427</v>
      </c>
      <c r="I32" s="1">
        <v>326.41000000000003</v>
      </c>
      <c r="J32" s="8">
        <f t="shared" si="0"/>
        <v>6716.52</v>
      </c>
      <c r="K32" s="9">
        <f t="shared" si="1"/>
        <v>108</v>
      </c>
      <c r="L32" s="10">
        <f t="shared" ca="1" si="2"/>
        <v>46280.699263773146</v>
      </c>
    </row>
    <row r="33" spans="1:12" ht="15.75" customHeight="1" x14ac:dyDescent="0.3">
      <c r="A33" s="6" t="s">
        <v>54</v>
      </c>
      <c r="B33" s="6" t="s">
        <v>61</v>
      </c>
      <c r="C33" s="6" t="s">
        <v>39</v>
      </c>
      <c r="D33" s="6" t="s">
        <v>17</v>
      </c>
      <c r="E33" s="6">
        <v>1023.21</v>
      </c>
      <c r="F33" s="6">
        <v>18</v>
      </c>
      <c r="G33" s="6">
        <v>0.05</v>
      </c>
      <c r="H33" s="7">
        <v>45428</v>
      </c>
      <c r="I33" s="1">
        <v>388.82</v>
      </c>
      <c r="J33" s="8">
        <f t="shared" si="0"/>
        <v>4418.2800000000007</v>
      </c>
      <c r="K33" s="9">
        <f t="shared" si="1"/>
        <v>164</v>
      </c>
      <c r="L33" s="10">
        <f t="shared" ca="1" si="2"/>
        <v>46280.699263773146</v>
      </c>
    </row>
    <row r="34" spans="1:12" ht="15.75" customHeight="1" x14ac:dyDescent="0.3">
      <c r="A34" s="6" t="s">
        <v>33</v>
      </c>
      <c r="B34" s="6" t="s">
        <v>52</v>
      </c>
      <c r="C34" s="6" t="s">
        <v>16</v>
      </c>
      <c r="D34" s="6" t="s">
        <v>32</v>
      </c>
      <c r="E34" s="6">
        <v>853.72</v>
      </c>
      <c r="F34" s="6">
        <v>5</v>
      </c>
      <c r="G34" s="6">
        <v>0.15</v>
      </c>
      <c r="H34" s="7">
        <v>45428</v>
      </c>
      <c r="I34" s="1">
        <v>253.98</v>
      </c>
      <c r="J34" s="8">
        <f t="shared" ref="J34:J65" si="3">SUMIF($A$2:$A$201,A34,$E$2:$E$201)</f>
        <v>6549.55</v>
      </c>
      <c r="K34" s="9">
        <f t="shared" ref="K34:K65" si="4">RANK(J34,$J$2:$J$201)</f>
        <v>120</v>
      </c>
      <c r="L34" s="10">
        <f t="shared" ref="L34:L65" ca="1" si="5">NOW()</f>
        <v>46280.699263773146</v>
      </c>
    </row>
    <row r="35" spans="1:12" ht="15.75" customHeight="1" x14ac:dyDescent="0.3">
      <c r="A35" s="6" t="s">
        <v>62</v>
      </c>
      <c r="B35" s="6" t="s">
        <v>48</v>
      </c>
      <c r="C35" s="6" t="s">
        <v>25</v>
      </c>
      <c r="D35" s="6" t="s">
        <v>26</v>
      </c>
      <c r="E35" s="6">
        <v>967.89</v>
      </c>
      <c r="F35" s="6">
        <v>10</v>
      </c>
      <c r="G35" s="6">
        <v>0.1</v>
      </c>
      <c r="H35" s="7">
        <v>45429</v>
      </c>
      <c r="I35" s="1">
        <v>217.78</v>
      </c>
      <c r="J35" s="8">
        <f t="shared" si="3"/>
        <v>8740.18</v>
      </c>
      <c r="K35" s="9">
        <f t="shared" si="4"/>
        <v>53</v>
      </c>
      <c r="L35" s="10">
        <f t="shared" ca="1" si="5"/>
        <v>46280.699263773146</v>
      </c>
    </row>
    <row r="36" spans="1:12" ht="15.75" customHeight="1" x14ac:dyDescent="0.3">
      <c r="A36" s="6" t="s">
        <v>63</v>
      </c>
      <c r="B36" s="6" t="s">
        <v>58</v>
      </c>
      <c r="C36" s="6" t="s">
        <v>29</v>
      </c>
      <c r="D36" s="6" t="s">
        <v>44</v>
      </c>
      <c r="E36" s="6">
        <v>1200.9000000000001</v>
      </c>
      <c r="F36" s="6">
        <v>14</v>
      </c>
      <c r="G36" s="6">
        <v>0.05</v>
      </c>
      <c r="H36" s="7">
        <v>45429</v>
      </c>
      <c r="I36" s="1">
        <v>513.38</v>
      </c>
      <c r="J36" s="8">
        <f t="shared" si="3"/>
        <v>11611.060000000001</v>
      </c>
      <c r="K36" s="9">
        <f t="shared" si="4"/>
        <v>1</v>
      </c>
      <c r="L36" s="10">
        <f t="shared" ca="1" si="5"/>
        <v>46280.699263773146</v>
      </c>
    </row>
    <row r="37" spans="1:12" ht="15.75" customHeight="1" x14ac:dyDescent="0.3">
      <c r="A37" s="6" t="s">
        <v>18</v>
      </c>
      <c r="B37" s="6" t="s">
        <v>31</v>
      </c>
      <c r="C37" s="6" t="s">
        <v>16</v>
      </c>
      <c r="D37" s="6" t="s">
        <v>17</v>
      </c>
      <c r="E37" s="6">
        <v>472.38</v>
      </c>
      <c r="F37" s="6">
        <v>12</v>
      </c>
      <c r="G37" s="6">
        <v>0.2</v>
      </c>
      <c r="H37" s="7">
        <v>45429</v>
      </c>
      <c r="I37" s="1">
        <v>151.16</v>
      </c>
      <c r="J37" s="8">
        <f t="shared" si="3"/>
        <v>8339</v>
      </c>
      <c r="K37" s="9">
        <f t="shared" si="4"/>
        <v>70</v>
      </c>
      <c r="L37" s="10">
        <f t="shared" ca="1" si="5"/>
        <v>46280.699263773146</v>
      </c>
    </row>
    <row r="38" spans="1:12" ht="15.75" customHeight="1" x14ac:dyDescent="0.3">
      <c r="A38" s="6" t="s">
        <v>14</v>
      </c>
      <c r="B38" s="6" t="s">
        <v>60</v>
      </c>
      <c r="C38" s="6" t="s">
        <v>23</v>
      </c>
      <c r="D38" s="6" t="s">
        <v>44</v>
      </c>
      <c r="E38" s="6">
        <v>840.92</v>
      </c>
      <c r="F38" s="6">
        <v>9</v>
      </c>
      <c r="G38" s="6">
        <v>0.05</v>
      </c>
      <c r="H38" s="7">
        <v>45429</v>
      </c>
      <c r="I38" s="1">
        <v>359.49</v>
      </c>
      <c r="J38" s="8">
        <f t="shared" si="3"/>
        <v>4640.1099999999997</v>
      </c>
      <c r="K38" s="9">
        <f t="shared" si="4"/>
        <v>159</v>
      </c>
      <c r="L38" s="10">
        <f t="shared" ca="1" si="5"/>
        <v>46280.699263773146</v>
      </c>
    </row>
    <row r="39" spans="1:12" ht="15.75" customHeight="1" x14ac:dyDescent="0.3">
      <c r="A39" s="6" t="s">
        <v>57</v>
      </c>
      <c r="B39" s="6" t="s">
        <v>53</v>
      </c>
      <c r="C39" s="6" t="s">
        <v>39</v>
      </c>
      <c r="D39" s="6" t="s">
        <v>32</v>
      </c>
      <c r="E39" s="6">
        <v>1410.06</v>
      </c>
      <c r="F39" s="6">
        <v>11</v>
      </c>
      <c r="G39" s="6">
        <v>0.05</v>
      </c>
      <c r="H39" s="7">
        <v>45434</v>
      </c>
      <c r="I39" s="1">
        <v>468.84</v>
      </c>
      <c r="J39" s="8">
        <f t="shared" si="3"/>
        <v>10293.870000000001</v>
      </c>
      <c r="K39" s="9">
        <f t="shared" si="4"/>
        <v>12</v>
      </c>
      <c r="L39" s="10">
        <f t="shared" ca="1" si="5"/>
        <v>46280.699263773146</v>
      </c>
    </row>
    <row r="40" spans="1:12" ht="15.75" customHeight="1" x14ac:dyDescent="0.3">
      <c r="A40" s="6" t="s">
        <v>49</v>
      </c>
      <c r="B40" s="6" t="s">
        <v>64</v>
      </c>
      <c r="C40" s="6" t="s">
        <v>39</v>
      </c>
      <c r="D40" s="6" t="s">
        <v>32</v>
      </c>
      <c r="E40" s="6">
        <v>773.09</v>
      </c>
      <c r="F40" s="6">
        <v>13</v>
      </c>
      <c r="G40" s="6">
        <v>0.15</v>
      </c>
      <c r="H40" s="7">
        <v>45434</v>
      </c>
      <c r="I40" s="1">
        <v>229.99</v>
      </c>
      <c r="J40" s="8">
        <f t="shared" si="3"/>
        <v>9760.7999999999993</v>
      </c>
      <c r="K40" s="9">
        <f t="shared" si="4"/>
        <v>34</v>
      </c>
      <c r="L40" s="10">
        <f t="shared" ca="1" si="5"/>
        <v>46280.699263773146</v>
      </c>
    </row>
    <row r="41" spans="1:12" ht="15.75" customHeight="1" x14ac:dyDescent="0.3">
      <c r="A41" s="6" t="s">
        <v>65</v>
      </c>
      <c r="B41" s="6" t="s">
        <v>66</v>
      </c>
      <c r="C41" s="6" t="s">
        <v>23</v>
      </c>
      <c r="D41" s="6" t="s">
        <v>17</v>
      </c>
      <c r="E41" s="6">
        <v>580.42999999999995</v>
      </c>
      <c r="F41" s="6">
        <v>19</v>
      </c>
      <c r="G41" s="6">
        <v>0.15</v>
      </c>
      <c r="H41" s="7">
        <v>45435</v>
      </c>
      <c r="I41" s="1">
        <v>197.35</v>
      </c>
      <c r="J41" s="8">
        <f t="shared" si="3"/>
        <v>3369.17</v>
      </c>
      <c r="K41" s="9">
        <f t="shared" si="4"/>
        <v>195</v>
      </c>
      <c r="L41" s="10">
        <f t="shared" ca="1" si="5"/>
        <v>46280.699263773146</v>
      </c>
    </row>
    <row r="42" spans="1:12" ht="15.75" customHeight="1" x14ac:dyDescent="0.3">
      <c r="A42" s="6" t="s">
        <v>24</v>
      </c>
      <c r="B42" s="6" t="s">
        <v>47</v>
      </c>
      <c r="C42" s="6" t="s">
        <v>25</v>
      </c>
      <c r="D42" s="6" t="s">
        <v>17</v>
      </c>
      <c r="E42" s="6">
        <v>1151.21</v>
      </c>
      <c r="F42" s="6">
        <v>15</v>
      </c>
      <c r="G42" s="6">
        <v>0.1</v>
      </c>
      <c r="H42" s="7">
        <v>45445</v>
      </c>
      <c r="I42" s="1">
        <v>414.44</v>
      </c>
      <c r="J42" s="8">
        <f t="shared" si="3"/>
        <v>6666.130000000001</v>
      </c>
      <c r="K42" s="9">
        <f t="shared" si="4"/>
        <v>114</v>
      </c>
      <c r="L42" s="10">
        <f t="shared" ca="1" si="5"/>
        <v>46280.699263773146</v>
      </c>
    </row>
    <row r="43" spans="1:12" ht="15.75" customHeight="1" x14ac:dyDescent="0.3">
      <c r="A43" s="6" t="s">
        <v>57</v>
      </c>
      <c r="B43" s="6" t="s">
        <v>28</v>
      </c>
      <c r="C43" s="6" t="s">
        <v>39</v>
      </c>
      <c r="D43" s="6" t="s">
        <v>44</v>
      </c>
      <c r="E43" s="6">
        <v>1025.98</v>
      </c>
      <c r="F43" s="6">
        <v>5</v>
      </c>
      <c r="G43" s="6">
        <v>0.2</v>
      </c>
      <c r="H43" s="7">
        <v>45447</v>
      </c>
      <c r="I43" s="1">
        <v>369.35</v>
      </c>
      <c r="J43" s="8">
        <f t="shared" si="3"/>
        <v>10293.870000000001</v>
      </c>
      <c r="K43" s="9">
        <f t="shared" si="4"/>
        <v>12</v>
      </c>
      <c r="L43" s="10">
        <f t="shared" ca="1" si="5"/>
        <v>46280.699263773146</v>
      </c>
    </row>
    <row r="44" spans="1:12" ht="15.75" customHeight="1" x14ac:dyDescent="0.3">
      <c r="A44" s="6" t="s">
        <v>45</v>
      </c>
      <c r="B44" s="6" t="s">
        <v>61</v>
      </c>
      <c r="C44" s="6" t="s">
        <v>23</v>
      </c>
      <c r="D44" s="6" t="s">
        <v>44</v>
      </c>
      <c r="E44" s="6">
        <v>556.41999999999996</v>
      </c>
      <c r="F44" s="6">
        <v>11</v>
      </c>
      <c r="G44" s="6">
        <v>0.15</v>
      </c>
      <c r="H44" s="7">
        <v>45447</v>
      </c>
      <c r="I44" s="1">
        <v>212.83</v>
      </c>
      <c r="J44" s="8">
        <f t="shared" si="3"/>
        <v>5913.68</v>
      </c>
      <c r="K44" s="9">
        <f t="shared" si="4"/>
        <v>140</v>
      </c>
      <c r="L44" s="10">
        <f t="shared" ca="1" si="5"/>
        <v>46280.699263773146</v>
      </c>
    </row>
    <row r="45" spans="1:12" ht="15.75" customHeight="1" x14ac:dyDescent="0.3">
      <c r="A45" s="6" t="s">
        <v>62</v>
      </c>
      <c r="B45" s="6" t="s">
        <v>28</v>
      </c>
      <c r="C45" s="6" t="s">
        <v>39</v>
      </c>
      <c r="D45" s="6" t="s">
        <v>17</v>
      </c>
      <c r="E45" s="6">
        <v>840.85</v>
      </c>
      <c r="F45" s="6">
        <v>19</v>
      </c>
      <c r="G45" s="6">
        <v>0.1</v>
      </c>
      <c r="H45" s="7">
        <v>45448</v>
      </c>
      <c r="I45" s="1">
        <v>302.70999999999998</v>
      </c>
      <c r="J45" s="8">
        <f t="shared" si="3"/>
        <v>8740.18</v>
      </c>
      <c r="K45" s="9">
        <f t="shared" si="4"/>
        <v>53</v>
      </c>
      <c r="L45" s="10">
        <f t="shared" ca="1" si="5"/>
        <v>46280.699263773146</v>
      </c>
    </row>
    <row r="46" spans="1:12" ht="15.75" customHeight="1" x14ac:dyDescent="0.3">
      <c r="A46" s="6" t="s">
        <v>35</v>
      </c>
      <c r="B46" s="6" t="s">
        <v>66</v>
      </c>
      <c r="C46" s="6" t="s">
        <v>29</v>
      </c>
      <c r="D46" s="6" t="s">
        <v>32</v>
      </c>
      <c r="E46" s="6">
        <v>1227.25</v>
      </c>
      <c r="F46" s="6">
        <v>12</v>
      </c>
      <c r="G46" s="6">
        <v>0.15</v>
      </c>
      <c r="H46" s="7">
        <v>45448</v>
      </c>
      <c r="I46" s="1">
        <v>365.11</v>
      </c>
      <c r="J46" s="8">
        <f t="shared" si="3"/>
        <v>9371.81</v>
      </c>
      <c r="K46" s="9">
        <f t="shared" si="4"/>
        <v>44</v>
      </c>
      <c r="L46" s="10">
        <f t="shared" ca="1" si="5"/>
        <v>46280.699263773146</v>
      </c>
    </row>
    <row r="47" spans="1:12" ht="15.75" customHeight="1" x14ac:dyDescent="0.3">
      <c r="A47" s="6" t="s">
        <v>21</v>
      </c>
      <c r="B47" s="6" t="s">
        <v>67</v>
      </c>
      <c r="C47" s="6" t="s">
        <v>39</v>
      </c>
      <c r="D47" s="6" t="s">
        <v>26</v>
      </c>
      <c r="E47" s="6">
        <v>856.7</v>
      </c>
      <c r="F47" s="6">
        <v>2</v>
      </c>
      <c r="G47" s="6">
        <v>0</v>
      </c>
      <c r="H47" s="7">
        <v>45449</v>
      </c>
      <c r="I47" s="1">
        <v>214.18</v>
      </c>
      <c r="J47" s="8">
        <f t="shared" si="3"/>
        <v>3419.2</v>
      </c>
      <c r="K47" s="9">
        <f t="shared" si="4"/>
        <v>191</v>
      </c>
      <c r="L47" s="10">
        <f t="shared" ca="1" si="5"/>
        <v>46280.699263773146</v>
      </c>
    </row>
    <row r="48" spans="1:12" ht="15.75" customHeight="1" x14ac:dyDescent="0.3">
      <c r="A48" s="6" t="s">
        <v>59</v>
      </c>
      <c r="B48" s="6" t="s">
        <v>61</v>
      </c>
      <c r="C48" s="6" t="s">
        <v>39</v>
      </c>
      <c r="D48" s="6" t="s">
        <v>44</v>
      </c>
      <c r="E48" s="6">
        <v>1225.42</v>
      </c>
      <c r="F48" s="6">
        <v>8</v>
      </c>
      <c r="G48" s="6">
        <v>0.15</v>
      </c>
      <c r="H48" s="7">
        <v>45449</v>
      </c>
      <c r="I48" s="1">
        <v>468.72</v>
      </c>
      <c r="J48" s="8">
        <f t="shared" si="3"/>
        <v>6716.52</v>
      </c>
      <c r="K48" s="9">
        <f t="shared" si="4"/>
        <v>108</v>
      </c>
      <c r="L48" s="10">
        <f t="shared" ca="1" si="5"/>
        <v>46280.699263773146</v>
      </c>
    </row>
    <row r="49" spans="1:12" ht="15.75" customHeight="1" x14ac:dyDescent="0.3">
      <c r="A49" s="6" t="s">
        <v>68</v>
      </c>
      <c r="B49" s="6" t="s">
        <v>36</v>
      </c>
      <c r="C49" s="6" t="s">
        <v>29</v>
      </c>
      <c r="D49" s="6" t="s">
        <v>44</v>
      </c>
      <c r="E49" s="6">
        <v>1001.57</v>
      </c>
      <c r="F49" s="6">
        <v>12</v>
      </c>
      <c r="G49" s="6">
        <v>0</v>
      </c>
      <c r="H49" s="7">
        <v>45450</v>
      </c>
      <c r="I49" s="1">
        <v>450.71</v>
      </c>
      <c r="J49" s="8">
        <f t="shared" si="3"/>
        <v>3762.2900000000004</v>
      </c>
      <c r="K49" s="9">
        <f t="shared" si="4"/>
        <v>187</v>
      </c>
      <c r="L49" s="10">
        <f t="shared" ca="1" si="5"/>
        <v>46280.699263773146</v>
      </c>
    </row>
    <row r="50" spans="1:12" ht="15.75" customHeight="1" x14ac:dyDescent="0.3">
      <c r="A50" s="6" t="s">
        <v>62</v>
      </c>
      <c r="B50" s="6" t="s">
        <v>31</v>
      </c>
      <c r="C50" s="6" t="s">
        <v>23</v>
      </c>
      <c r="D50" s="6" t="s">
        <v>32</v>
      </c>
      <c r="E50" s="6">
        <v>1186.8499999999999</v>
      </c>
      <c r="F50" s="6">
        <v>19</v>
      </c>
      <c r="G50" s="6">
        <v>0.2</v>
      </c>
      <c r="H50" s="7">
        <v>45451</v>
      </c>
      <c r="I50" s="1">
        <v>332.32</v>
      </c>
      <c r="J50" s="8">
        <f t="shared" si="3"/>
        <v>8740.18</v>
      </c>
      <c r="K50" s="9">
        <f t="shared" si="4"/>
        <v>53</v>
      </c>
      <c r="L50" s="10">
        <f t="shared" ca="1" si="5"/>
        <v>46280.699263773146</v>
      </c>
    </row>
    <row r="51" spans="1:12" ht="15.75" customHeight="1" x14ac:dyDescent="0.3">
      <c r="A51" s="6" t="s">
        <v>49</v>
      </c>
      <c r="B51" s="6" t="s">
        <v>56</v>
      </c>
      <c r="C51" s="6" t="s">
        <v>25</v>
      </c>
      <c r="D51" s="6" t="s">
        <v>26</v>
      </c>
      <c r="E51" s="6">
        <v>775.45</v>
      </c>
      <c r="F51" s="6">
        <v>6</v>
      </c>
      <c r="G51" s="6">
        <v>0.1</v>
      </c>
      <c r="H51" s="7">
        <v>45457</v>
      </c>
      <c r="I51" s="1">
        <v>174.48</v>
      </c>
      <c r="J51" s="8">
        <f t="shared" si="3"/>
        <v>9760.7999999999993</v>
      </c>
      <c r="K51" s="9">
        <f t="shared" si="4"/>
        <v>34</v>
      </c>
      <c r="L51" s="10">
        <f t="shared" ca="1" si="5"/>
        <v>46280.699263773146</v>
      </c>
    </row>
    <row r="52" spans="1:12" ht="15.75" customHeight="1" x14ac:dyDescent="0.3">
      <c r="A52" s="6" t="s">
        <v>30</v>
      </c>
      <c r="B52" s="6" t="s">
        <v>38</v>
      </c>
      <c r="C52" s="6" t="s">
        <v>25</v>
      </c>
      <c r="D52" s="6" t="s">
        <v>26</v>
      </c>
      <c r="E52" s="6">
        <v>1021.47</v>
      </c>
      <c r="F52" s="6">
        <v>6</v>
      </c>
      <c r="G52" s="6">
        <v>0.05</v>
      </c>
      <c r="H52" s="7">
        <v>45461</v>
      </c>
      <c r="I52" s="1">
        <v>242.6</v>
      </c>
      <c r="J52" s="8">
        <f t="shared" si="3"/>
        <v>9941.8799999999992</v>
      </c>
      <c r="K52" s="9">
        <f t="shared" si="4"/>
        <v>24</v>
      </c>
      <c r="L52" s="10">
        <f t="shared" ca="1" si="5"/>
        <v>46280.699263773146</v>
      </c>
    </row>
    <row r="53" spans="1:12" ht="15.75" customHeight="1" x14ac:dyDescent="0.3">
      <c r="A53" s="6" t="s">
        <v>63</v>
      </c>
      <c r="B53" s="6" t="s">
        <v>28</v>
      </c>
      <c r="C53" s="6" t="s">
        <v>25</v>
      </c>
      <c r="D53" s="6" t="s">
        <v>20</v>
      </c>
      <c r="E53" s="6">
        <v>1226.6199999999999</v>
      </c>
      <c r="F53" s="6">
        <v>7</v>
      </c>
      <c r="G53" s="6">
        <v>0.1</v>
      </c>
      <c r="H53" s="7">
        <v>45463</v>
      </c>
      <c r="I53" s="1">
        <v>551.98</v>
      </c>
      <c r="J53" s="8">
        <f t="shared" si="3"/>
        <v>11611.060000000001</v>
      </c>
      <c r="K53" s="9">
        <f t="shared" si="4"/>
        <v>1</v>
      </c>
      <c r="L53" s="10">
        <f t="shared" ca="1" si="5"/>
        <v>46280.699263773146</v>
      </c>
    </row>
    <row r="54" spans="1:12" ht="15.75" customHeight="1" x14ac:dyDescent="0.3">
      <c r="A54" s="6" t="s">
        <v>27</v>
      </c>
      <c r="B54" s="6" t="s">
        <v>69</v>
      </c>
      <c r="C54" s="6" t="s">
        <v>25</v>
      </c>
      <c r="D54" s="6" t="s">
        <v>32</v>
      </c>
      <c r="E54" s="6">
        <v>1086.93</v>
      </c>
      <c r="F54" s="6">
        <v>2</v>
      </c>
      <c r="G54" s="6">
        <v>0</v>
      </c>
      <c r="H54" s="7">
        <v>45464</v>
      </c>
      <c r="I54" s="1">
        <v>380.43</v>
      </c>
      <c r="J54" s="8">
        <f t="shared" si="3"/>
        <v>7928.71</v>
      </c>
      <c r="K54" s="9">
        <f t="shared" si="4"/>
        <v>79</v>
      </c>
      <c r="L54" s="10">
        <f t="shared" ca="1" si="5"/>
        <v>46280.699263773146</v>
      </c>
    </row>
    <row r="55" spans="1:12" ht="15.75" customHeight="1" x14ac:dyDescent="0.3">
      <c r="A55" s="6" t="s">
        <v>70</v>
      </c>
      <c r="B55" s="6" t="s">
        <v>53</v>
      </c>
      <c r="C55" s="6" t="s">
        <v>16</v>
      </c>
      <c r="D55" s="6" t="s">
        <v>17</v>
      </c>
      <c r="E55" s="6">
        <v>942.9</v>
      </c>
      <c r="F55" s="6">
        <v>18</v>
      </c>
      <c r="G55" s="6">
        <v>0.1</v>
      </c>
      <c r="H55" s="7">
        <v>45466</v>
      </c>
      <c r="I55" s="1">
        <v>339.44</v>
      </c>
      <c r="J55" s="8">
        <f t="shared" si="3"/>
        <v>6481.43</v>
      </c>
      <c r="K55" s="9">
        <f t="shared" si="4"/>
        <v>134</v>
      </c>
      <c r="L55" s="10">
        <f t="shared" ca="1" si="5"/>
        <v>46280.699263773146</v>
      </c>
    </row>
    <row r="56" spans="1:12" ht="15.75" customHeight="1" x14ac:dyDescent="0.3">
      <c r="A56" s="6" t="s">
        <v>37</v>
      </c>
      <c r="B56" s="6" t="s">
        <v>43</v>
      </c>
      <c r="C56" s="6" t="s">
        <v>29</v>
      </c>
      <c r="D56" s="6" t="s">
        <v>26</v>
      </c>
      <c r="E56" s="6">
        <v>818.8</v>
      </c>
      <c r="F56" s="6">
        <v>15</v>
      </c>
      <c r="G56" s="6">
        <v>0.15</v>
      </c>
      <c r="H56" s="7">
        <v>45468</v>
      </c>
      <c r="I56" s="1">
        <v>173.99</v>
      </c>
      <c r="J56" s="8">
        <f t="shared" si="3"/>
        <v>6505.2</v>
      </c>
      <c r="K56" s="9">
        <f t="shared" si="4"/>
        <v>127</v>
      </c>
      <c r="L56" s="10">
        <f t="shared" ca="1" si="5"/>
        <v>46280.699263773146</v>
      </c>
    </row>
    <row r="57" spans="1:12" ht="15.75" customHeight="1" x14ac:dyDescent="0.3">
      <c r="A57" s="6" t="s">
        <v>24</v>
      </c>
      <c r="B57" s="6" t="s">
        <v>19</v>
      </c>
      <c r="C57" s="6" t="s">
        <v>25</v>
      </c>
      <c r="D57" s="6" t="s">
        <v>32</v>
      </c>
      <c r="E57" s="6">
        <v>919.04</v>
      </c>
      <c r="F57" s="6">
        <v>10</v>
      </c>
      <c r="G57" s="6">
        <v>0.2</v>
      </c>
      <c r="H57" s="7">
        <v>45468</v>
      </c>
      <c r="I57" s="1">
        <v>257.33</v>
      </c>
      <c r="J57" s="8">
        <f t="shared" si="3"/>
        <v>6666.130000000001</v>
      </c>
      <c r="K57" s="9">
        <f t="shared" si="4"/>
        <v>114</v>
      </c>
      <c r="L57" s="10">
        <f t="shared" ca="1" si="5"/>
        <v>46280.699263773146</v>
      </c>
    </row>
    <row r="58" spans="1:12" ht="15.75" customHeight="1" x14ac:dyDescent="0.3">
      <c r="A58" s="6" t="s">
        <v>27</v>
      </c>
      <c r="B58" s="6" t="s">
        <v>71</v>
      </c>
      <c r="C58" s="6" t="s">
        <v>39</v>
      </c>
      <c r="D58" s="6" t="s">
        <v>17</v>
      </c>
      <c r="E58" s="6">
        <v>973.26</v>
      </c>
      <c r="F58" s="6">
        <v>11</v>
      </c>
      <c r="G58" s="6">
        <v>0</v>
      </c>
      <c r="H58" s="7">
        <v>45470</v>
      </c>
      <c r="I58" s="1">
        <v>389.3</v>
      </c>
      <c r="J58" s="8">
        <f t="shared" si="3"/>
        <v>7928.71</v>
      </c>
      <c r="K58" s="9">
        <f t="shared" si="4"/>
        <v>79</v>
      </c>
      <c r="L58" s="10">
        <f t="shared" ca="1" si="5"/>
        <v>46280.699263773146</v>
      </c>
    </row>
    <row r="59" spans="1:12" ht="15.75" customHeight="1" x14ac:dyDescent="0.3">
      <c r="A59" s="6" t="s">
        <v>46</v>
      </c>
      <c r="B59" s="6" t="s">
        <v>69</v>
      </c>
      <c r="C59" s="6" t="s">
        <v>29</v>
      </c>
      <c r="D59" s="6" t="s">
        <v>26</v>
      </c>
      <c r="E59" s="6">
        <v>741.61</v>
      </c>
      <c r="F59" s="6">
        <v>1</v>
      </c>
      <c r="G59" s="6">
        <v>0.2</v>
      </c>
      <c r="H59" s="7">
        <v>45471</v>
      </c>
      <c r="I59" s="1">
        <v>148.32</v>
      </c>
      <c r="J59" s="8">
        <f t="shared" si="3"/>
        <v>5779.05</v>
      </c>
      <c r="K59" s="9">
        <f t="shared" si="4"/>
        <v>147</v>
      </c>
      <c r="L59" s="10">
        <f t="shared" ca="1" si="5"/>
        <v>46280.699263773146</v>
      </c>
    </row>
    <row r="60" spans="1:12" ht="15.75" customHeight="1" x14ac:dyDescent="0.3">
      <c r="A60" s="6" t="s">
        <v>72</v>
      </c>
      <c r="B60" s="6" t="s">
        <v>43</v>
      </c>
      <c r="C60" s="6" t="s">
        <v>29</v>
      </c>
      <c r="D60" s="6" t="s">
        <v>17</v>
      </c>
      <c r="E60" s="6">
        <v>1248.82</v>
      </c>
      <c r="F60" s="6">
        <v>2</v>
      </c>
      <c r="G60" s="6">
        <v>0.1</v>
      </c>
      <c r="H60" s="7">
        <v>45473</v>
      </c>
      <c r="I60" s="1">
        <v>449.58</v>
      </c>
      <c r="J60" s="8">
        <f t="shared" si="3"/>
        <v>8490.18</v>
      </c>
      <c r="K60" s="9">
        <f t="shared" si="4"/>
        <v>61</v>
      </c>
      <c r="L60" s="10">
        <f t="shared" ca="1" si="5"/>
        <v>46280.699263773146</v>
      </c>
    </row>
    <row r="61" spans="1:12" ht="15.75" customHeight="1" x14ac:dyDescent="0.3">
      <c r="A61" s="6" t="s">
        <v>18</v>
      </c>
      <c r="B61" s="6" t="s">
        <v>64</v>
      </c>
      <c r="C61" s="6" t="s">
        <v>16</v>
      </c>
      <c r="D61" s="6" t="s">
        <v>20</v>
      </c>
      <c r="E61" s="6">
        <v>1360.36</v>
      </c>
      <c r="F61" s="6">
        <v>17</v>
      </c>
      <c r="G61" s="6">
        <v>0</v>
      </c>
      <c r="H61" s="7">
        <v>45473</v>
      </c>
      <c r="I61" s="1">
        <v>680.18</v>
      </c>
      <c r="J61" s="8">
        <f t="shared" si="3"/>
        <v>8339</v>
      </c>
      <c r="K61" s="9">
        <f t="shared" si="4"/>
        <v>70</v>
      </c>
      <c r="L61" s="10">
        <f t="shared" ca="1" si="5"/>
        <v>46280.699263773146</v>
      </c>
    </row>
    <row r="62" spans="1:12" ht="15.75" customHeight="1" x14ac:dyDescent="0.3">
      <c r="A62" s="6" t="s">
        <v>62</v>
      </c>
      <c r="B62" s="6" t="s">
        <v>36</v>
      </c>
      <c r="C62" s="6" t="s">
        <v>23</v>
      </c>
      <c r="D62" s="6" t="s">
        <v>17</v>
      </c>
      <c r="E62" s="6">
        <v>1383.3</v>
      </c>
      <c r="F62" s="6">
        <v>8</v>
      </c>
      <c r="G62" s="6">
        <v>0.1</v>
      </c>
      <c r="H62" s="7">
        <v>45478</v>
      </c>
      <c r="I62" s="1">
        <v>497.99</v>
      </c>
      <c r="J62" s="8">
        <f t="shared" si="3"/>
        <v>8740.18</v>
      </c>
      <c r="K62" s="9">
        <f t="shared" si="4"/>
        <v>53</v>
      </c>
      <c r="L62" s="10">
        <f t="shared" ca="1" si="5"/>
        <v>46280.699263773146</v>
      </c>
    </row>
    <row r="63" spans="1:12" ht="15.75" customHeight="1" x14ac:dyDescent="0.3">
      <c r="A63" s="6" t="s">
        <v>40</v>
      </c>
      <c r="B63" s="6" t="s">
        <v>60</v>
      </c>
      <c r="C63" s="6" t="s">
        <v>39</v>
      </c>
      <c r="D63" s="6" t="s">
        <v>44</v>
      </c>
      <c r="E63" s="6">
        <v>488.99</v>
      </c>
      <c r="F63" s="6">
        <v>9</v>
      </c>
      <c r="G63" s="6">
        <v>0</v>
      </c>
      <c r="H63" s="7">
        <v>45479</v>
      </c>
      <c r="I63" s="1">
        <v>220.05</v>
      </c>
      <c r="J63" s="8">
        <f t="shared" si="3"/>
        <v>4259.22</v>
      </c>
      <c r="K63" s="9">
        <f t="shared" si="4"/>
        <v>173</v>
      </c>
      <c r="L63" s="10">
        <f t="shared" ca="1" si="5"/>
        <v>46280.699263773146</v>
      </c>
    </row>
    <row r="64" spans="1:12" ht="15.75" customHeight="1" x14ac:dyDescent="0.3">
      <c r="A64" s="6" t="s">
        <v>35</v>
      </c>
      <c r="B64" s="6" t="s">
        <v>36</v>
      </c>
      <c r="C64" s="6" t="s">
        <v>23</v>
      </c>
      <c r="D64" s="6" t="s">
        <v>32</v>
      </c>
      <c r="E64" s="6">
        <v>933.71</v>
      </c>
      <c r="F64" s="6">
        <v>17</v>
      </c>
      <c r="G64" s="6">
        <v>0.1</v>
      </c>
      <c r="H64" s="7">
        <v>45481</v>
      </c>
      <c r="I64" s="1">
        <v>294.12</v>
      </c>
      <c r="J64" s="8">
        <f t="shared" si="3"/>
        <v>9371.81</v>
      </c>
      <c r="K64" s="9">
        <f t="shared" si="4"/>
        <v>44</v>
      </c>
      <c r="L64" s="10">
        <f t="shared" ca="1" si="5"/>
        <v>46280.699263773146</v>
      </c>
    </row>
    <row r="65" spans="1:12" ht="15.75" customHeight="1" x14ac:dyDescent="0.3">
      <c r="A65" s="6" t="s">
        <v>72</v>
      </c>
      <c r="B65" s="6" t="s">
        <v>15</v>
      </c>
      <c r="C65" s="6" t="s">
        <v>16</v>
      </c>
      <c r="D65" s="6" t="s">
        <v>26</v>
      </c>
      <c r="E65" s="6">
        <v>1005.53</v>
      </c>
      <c r="F65" s="6">
        <v>17</v>
      </c>
      <c r="G65" s="6">
        <v>0.2</v>
      </c>
      <c r="H65" s="7">
        <v>45481</v>
      </c>
      <c r="I65" s="1">
        <v>201.11</v>
      </c>
      <c r="J65" s="8">
        <f t="shared" si="3"/>
        <v>8490.18</v>
      </c>
      <c r="K65" s="9">
        <f t="shared" si="4"/>
        <v>61</v>
      </c>
      <c r="L65" s="10">
        <f t="shared" ca="1" si="5"/>
        <v>46280.699263773146</v>
      </c>
    </row>
    <row r="66" spans="1:12" ht="15.75" customHeight="1" x14ac:dyDescent="0.3">
      <c r="A66" s="6" t="s">
        <v>46</v>
      </c>
      <c r="B66" s="6" t="s">
        <v>66</v>
      </c>
      <c r="C66" s="6" t="s">
        <v>25</v>
      </c>
      <c r="D66" s="6" t="s">
        <v>26</v>
      </c>
      <c r="E66" s="6">
        <v>1100.0999999999999</v>
      </c>
      <c r="F66" s="6">
        <v>5</v>
      </c>
      <c r="G66" s="6">
        <v>0.05</v>
      </c>
      <c r="H66" s="7">
        <v>45482</v>
      </c>
      <c r="I66" s="1">
        <v>261.27</v>
      </c>
      <c r="J66" s="8">
        <f t="shared" ref="J66:J97" si="6">SUMIF($A$2:$A$201,A66,$E$2:$E$201)</f>
        <v>5779.05</v>
      </c>
      <c r="K66" s="9">
        <f t="shared" ref="K66:K97" si="7">RANK(J66,$J$2:$J$201)</f>
        <v>147</v>
      </c>
      <c r="L66" s="10">
        <f t="shared" ref="L66:L97" ca="1" si="8">NOW()</f>
        <v>46280.699263773146</v>
      </c>
    </row>
    <row r="67" spans="1:12" ht="15.75" customHeight="1" x14ac:dyDescent="0.3">
      <c r="A67" s="6" t="s">
        <v>72</v>
      </c>
      <c r="B67" s="6" t="s">
        <v>28</v>
      </c>
      <c r="C67" s="6" t="s">
        <v>29</v>
      </c>
      <c r="D67" s="6" t="s">
        <v>32</v>
      </c>
      <c r="E67" s="6">
        <v>1034.7</v>
      </c>
      <c r="F67" s="6">
        <v>15</v>
      </c>
      <c r="G67" s="6">
        <v>0.15</v>
      </c>
      <c r="H67" s="7">
        <v>45487</v>
      </c>
      <c r="I67" s="1">
        <v>307.82</v>
      </c>
      <c r="J67" s="8">
        <f t="shared" si="6"/>
        <v>8490.18</v>
      </c>
      <c r="K67" s="9">
        <f t="shared" si="7"/>
        <v>61</v>
      </c>
      <c r="L67" s="10">
        <f t="shared" ca="1" si="8"/>
        <v>46280.699263773146</v>
      </c>
    </row>
    <row r="68" spans="1:12" ht="15.75" customHeight="1" x14ac:dyDescent="0.3">
      <c r="A68" s="6" t="s">
        <v>70</v>
      </c>
      <c r="B68" s="6" t="s">
        <v>36</v>
      </c>
      <c r="C68" s="6" t="s">
        <v>25</v>
      </c>
      <c r="D68" s="6" t="s">
        <v>17</v>
      </c>
      <c r="E68" s="6">
        <v>876.44</v>
      </c>
      <c r="F68" s="6">
        <v>12</v>
      </c>
      <c r="G68" s="6">
        <v>0.05</v>
      </c>
      <c r="H68" s="7">
        <v>45488</v>
      </c>
      <c r="I68" s="1">
        <v>333.05</v>
      </c>
      <c r="J68" s="8">
        <f t="shared" si="6"/>
        <v>6481.43</v>
      </c>
      <c r="K68" s="9">
        <f t="shared" si="7"/>
        <v>134</v>
      </c>
      <c r="L68" s="10">
        <f t="shared" ca="1" si="8"/>
        <v>46280.699263773146</v>
      </c>
    </row>
    <row r="69" spans="1:12" ht="15.75" customHeight="1" x14ac:dyDescent="0.3">
      <c r="A69" s="6" t="s">
        <v>73</v>
      </c>
      <c r="B69" s="6" t="s">
        <v>60</v>
      </c>
      <c r="C69" s="6" t="s">
        <v>16</v>
      </c>
      <c r="D69" s="6" t="s">
        <v>32</v>
      </c>
      <c r="E69" s="6">
        <v>1371.34</v>
      </c>
      <c r="F69" s="6">
        <v>5</v>
      </c>
      <c r="G69" s="6">
        <v>0.05</v>
      </c>
      <c r="H69" s="7">
        <v>45488</v>
      </c>
      <c r="I69" s="1">
        <v>455.97</v>
      </c>
      <c r="J69" s="8">
        <f t="shared" si="6"/>
        <v>4413.71</v>
      </c>
      <c r="K69" s="9">
        <f t="shared" si="7"/>
        <v>169</v>
      </c>
      <c r="L69" s="10">
        <f t="shared" ca="1" si="8"/>
        <v>46280.699263773146</v>
      </c>
    </row>
    <row r="70" spans="1:12" ht="15.75" customHeight="1" x14ac:dyDescent="0.3">
      <c r="A70" s="6" t="s">
        <v>62</v>
      </c>
      <c r="B70" s="6" t="s">
        <v>52</v>
      </c>
      <c r="C70" s="6" t="s">
        <v>29</v>
      </c>
      <c r="D70" s="6" t="s">
        <v>26</v>
      </c>
      <c r="E70" s="6">
        <v>1020.26</v>
      </c>
      <c r="F70" s="6">
        <v>11</v>
      </c>
      <c r="G70" s="6">
        <v>0.05</v>
      </c>
      <c r="H70" s="7">
        <v>45494</v>
      </c>
      <c r="I70" s="1">
        <v>242.31</v>
      </c>
      <c r="J70" s="8">
        <f t="shared" si="6"/>
        <v>8740.18</v>
      </c>
      <c r="K70" s="9">
        <f t="shared" si="7"/>
        <v>53</v>
      </c>
      <c r="L70" s="10">
        <f t="shared" ca="1" si="8"/>
        <v>46280.699263773146</v>
      </c>
    </row>
    <row r="71" spans="1:12" ht="15.75" customHeight="1" x14ac:dyDescent="0.3">
      <c r="A71" s="6" t="s">
        <v>49</v>
      </c>
      <c r="B71" s="6" t="s">
        <v>15</v>
      </c>
      <c r="C71" s="6" t="s">
        <v>39</v>
      </c>
      <c r="D71" s="6" t="s">
        <v>44</v>
      </c>
      <c r="E71" s="6">
        <v>804.81</v>
      </c>
      <c r="F71" s="6">
        <v>1</v>
      </c>
      <c r="G71" s="6">
        <v>0.05</v>
      </c>
      <c r="H71" s="7">
        <v>45502</v>
      </c>
      <c r="I71" s="1">
        <v>344.06</v>
      </c>
      <c r="J71" s="8">
        <f t="shared" si="6"/>
        <v>9760.7999999999993</v>
      </c>
      <c r="K71" s="9">
        <f t="shared" si="7"/>
        <v>34</v>
      </c>
      <c r="L71" s="10">
        <f t="shared" ca="1" si="8"/>
        <v>46280.699263773146</v>
      </c>
    </row>
    <row r="72" spans="1:12" ht="15.75" customHeight="1" x14ac:dyDescent="0.3">
      <c r="A72" s="6" t="s">
        <v>27</v>
      </c>
      <c r="B72" s="6" t="s">
        <v>60</v>
      </c>
      <c r="C72" s="6" t="s">
        <v>39</v>
      </c>
      <c r="D72" s="6" t="s">
        <v>26</v>
      </c>
      <c r="E72" s="6">
        <v>608.66</v>
      </c>
      <c r="F72" s="6">
        <v>1</v>
      </c>
      <c r="G72" s="6">
        <v>0.05</v>
      </c>
      <c r="H72" s="7">
        <v>45503</v>
      </c>
      <c r="I72" s="1">
        <v>144.56</v>
      </c>
      <c r="J72" s="8">
        <f t="shared" si="6"/>
        <v>7928.71</v>
      </c>
      <c r="K72" s="9">
        <f t="shared" si="7"/>
        <v>79</v>
      </c>
      <c r="L72" s="10">
        <f t="shared" ca="1" si="8"/>
        <v>46280.699263773146</v>
      </c>
    </row>
    <row r="73" spans="1:12" ht="15.75" customHeight="1" x14ac:dyDescent="0.3">
      <c r="A73" s="6" t="s">
        <v>73</v>
      </c>
      <c r="B73" s="6" t="s">
        <v>74</v>
      </c>
      <c r="C73" s="6" t="s">
        <v>25</v>
      </c>
      <c r="D73" s="6" t="s">
        <v>44</v>
      </c>
      <c r="E73" s="6">
        <v>981.2</v>
      </c>
      <c r="F73" s="6">
        <v>19</v>
      </c>
      <c r="G73" s="6">
        <v>0</v>
      </c>
      <c r="H73" s="7">
        <v>45504</v>
      </c>
      <c r="I73" s="1">
        <v>441.54</v>
      </c>
      <c r="J73" s="8">
        <f t="shared" si="6"/>
        <v>4413.71</v>
      </c>
      <c r="K73" s="9">
        <f t="shared" si="7"/>
        <v>169</v>
      </c>
      <c r="L73" s="10">
        <f t="shared" ca="1" si="8"/>
        <v>46280.699263773146</v>
      </c>
    </row>
    <row r="74" spans="1:12" ht="15.75" customHeight="1" x14ac:dyDescent="0.3">
      <c r="A74" s="6" t="s">
        <v>75</v>
      </c>
      <c r="B74" s="6" t="s">
        <v>60</v>
      </c>
      <c r="C74" s="6" t="s">
        <v>23</v>
      </c>
      <c r="D74" s="6" t="s">
        <v>26</v>
      </c>
      <c r="E74" s="6">
        <v>539.77</v>
      </c>
      <c r="F74" s="6">
        <v>10</v>
      </c>
      <c r="G74" s="6">
        <v>0.15</v>
      </c>
      <c r="H74" s="7">
        <v>45509</v>
      </c>
      <c r="I74" s="1">
        <v>114.7</v>
      </c>
      <c r="J74" s="8">
        <f t="shared" si="6"/>
        <v>7583.1299999999992</v>
      </c>
      <c r="K74" s="9">
        <f t="shared" si="7"/>
        <v>95</v>
      </c>
      <c r="L74" s="10">
        <f t="shared" ca="1" si="8"/>
        <v>46280.699263773146</v>
      </c>
    </row>
    <row r="75" spans="1:12" ht="15.75" customHeight="1" x14ac:dyDescent="0.3">
      <c r="A75" s="6" t="s">
        <v>18</v>
      </c>
      <c r="B75" s="6" t="s">
        <v>76</v>
      </c>
      <c r="C75" s="6" t="s">
        <v>25</v>
      </c>
      <c r="D75" s="6" t="s">
        <v>17</v>
      </c>
      <c r="E75" s="6">
        <v>804.45</v>
      </c>
      <c r="F75" s="6">
        <v>5</v>
      </c>
      <c r="G75" s="6">
        <v>0.2</v>
      </c>
      <c r="H75" s="7">
        <v>45509</v>
      </c>
      <c r="I75" s="1">
        <v>257.42</v>
      </c>
      <c r="J75" s="8">
        <f t="shared" si="6"/>
        <v>8339</v>
      </c>
      <c r="K75" s="9">
        <f t="shared" si="7"/>
        <v>70</v>
      </c>
      <c r="L75" s="10">
        <f t="shared" ca="1" si="8"/>
        <v>46280.699263773146</v>
      </c>
    </row>
    <row r="76" spans="1:12" ht="15.75" customHeight="1" x14ac:dyDescent="0.3">
      <c r="A76" s="6" t="s">
        <v>75</v>
      </c>
      <c r="B76" s="6" t="s">
        <v>43</v>
      </c>
      <c r="C76" s="6" t="s">
        <v>16</v>
      </c>
      <c r="D76" s="6" t="s">
        <v>26</v>
      </c>
      <c r="E76" s="6">
        <v>1526.6</v>
      </c>
      <c r="F76" s="6">
        <v>13</v>
      </c>
      <c r="G76" s="6">
        <v>0.2</v>
      </c>
      <c r="H76" s="7">
        <v>45512</v>
      </c>
      <c r="I76" s="1">
        <v>305.32</v>
      </c>
      <c r="J76" s="8">
        <f t="shared" si="6"/>
        <v>7583.1299999999992</v>
      </c>
      <c r="K76" s="9">
        <f t="shared" si="7"/>
        <v>95</v>
      </c>
      <c r="L76" s="10">
        <f t="shared" ca="1" si="8"/>
        <v>46280.699263773146</v>
      </c>
    </row>
    <row r="77" spans="1:12" ht="15.75" customHeight="1" x14ac:dyDescent="0.3">
      <c r="A77" s="6" t="s">
        <v>18</v>
      </c>
      <c r="B77" s="6" t="s">
        <v>34</v>
      </c>
      <c r="C77" s="6" t="s">
        <v>16</v>
      </c>
      <c r="D77" s="6" t="s">
        <v>26</v>
      </c>
      <c r="E77" s="6">
        <v>1215.26</v>
      </c>
      <c r="F77" s="6">
        <v>5</v>
      </c>
      <c r="G77" s="6">
        <v>0.15</v>
      </c>
      <c r="H77" s="7">
        <v>45513</v>
      </c>
      <c r="I77" s="1">
        <v>258.24</v>
      </c>
      <c r="J77" s="8">
        <f t="shared" si="6"/>
        <v>8339</v>
      </c>
      <c r="K77" s="9">
        <f t="shared" si="7"/>
        <v>70</v>
      </c>
      <c r="L77" s="10">
        <f t="shared" ca="1" si="8"/>
        <v>46280.699263773146</v>
      </c>
    </row>
    <row r="78" spans="1:12" ht="15.75" customHeight="1" x14ac:dyDescent="0.3">
      <c r="A78" s="6" t="s">
        <v>24</v>
      </c>
      <c r="B78" s="6" t="s">
        <v>58</v>
      </c>
      <c r="C78" s="6" t="s">
        <v>39</v>
      </c>
      <c r="D78" s="6" t="s">
        <v>32</v>
      </c>
      <c r="E78" s="6">
        <v>1261.3399999999999</v>
      </c>
      <c r="F78" s="6">
        <v>3</v>
      </c>
      <c r="G78" s="6">
        <v>0</v>
      </c>
      <c r="H78" s="7">
        <v>45519</v>
      </c>
      <c r="I78" s="1">
        <v>441.47</v>
      </c>
      <c r="J78" s="8">
        <f t="shared" si="6"/>
        <v>6666.130000000001</v>
      </c>
      <c r="K78" s="9">
        <f t="shared" si="7"/>
        <v>114</v>
      </c>
      <c r="L78" s="10">
        <f t="shared" ca="1" si="8"/>
        <v>46280.699263773146</v>
      </c>
    </row>
    <row r="79" spans="1:12" ht="15.75" customHeight="1" x14ac:dyDescent="0.3">
      <c r="A79" s="6" t="s">
        <v>77</v>
      </c>
      <c r="B79" s="6" t="s">
        <v>50</v>
      </c>
      <c r="C79" s="6" t="s">
        <v>29</v>
      </c>
      <c r="D79" s="6" t="s">
        <v>32</v>
      </c>
      <c r="E79" s="6">
        <v>518.07000000000005</v>
      </c>
      <c r="F79" s="6">
        <v>7</v>
      </c>
      <c r="G79" s="6">
        <v>0.05</v>
      </c>
      <c r="H79" s="7">
        <v>45522</v>
      </c>
      <c r="I79" s="1">
        <v>172.26</v>
      </c>
      <c r="J79" s="8">
        <f t="shared" si="6"/>
        <v>7813.59</v>
      </c>
      <c r="K79" s="9">
        <f t="shared" si="7"/>
        <v>88</v>
      </c>
      <c r="L79" s="10">
        <f t="shared" ca="1" si="8"/>
        <v>46280.699263773146</v>
      </c>
    </row>
    <row r="80" spans="1:12" ht="15.75" customHeight="1" x14ac:dyDescent="0.3">
      <c r="A80" s="6" t="s">
        <v>35</v>
      </c>
      <c r="B80" s="6" t="s">
        <v>34</v>
      </c>
      <c r="C80" s="6" t="s">
        <v>16</v>
      </c>
      <c r="D80" s="6" t="s">
        <v>44</v>
      </c>
      <c r="E80" s="6">
        <v>1111.3399999999999</v>
      </c>
      <c r="F80" s="6">
        <v>1</v>
      </c>
      <c r="G80" s="6">
        <v>0</v>
      </c>
      <c r="H80" s="7">
        <v>45523</v>
      </c>
      <c r="I80" s="1">
        <v>500.1</v>
      </c>
      <c r="J80" s="8">
        <f t="shared" si="6"/>
        <v>9371.81</v>
      </c>
      <c r="K80" s="9">
        <f t="shared" si="7"/>
        <v>44</v>
      </c>
      <c r="L80" s="10">
        <f t="shared" ca="1" si="8"/>
        <v>46280.699263773146</v>
      </c>
    </row>
    <row r="81" spans="1:12" ht="15.75" customHeight="1" x14ac:dyDescent="0.3">
      <c r="A81" s="6" t="s">
        <v>27</v>
      </c>
      <c r="B81" s="6" t="s">
        <v>36</v>
      </c>
      <c r="C81" s="6" t="s">
        <v>23</v>
      </c>
      <c r="D81" s="6" t="s">
        <v>20</v>
      </c>
      <c r="E81" s="6">
        <v>1291.47</v>
      </c>
      <c r="F81" s="6">
        <v>18</v>
      </c>
      <c r="G81" s="6">
        <v>0.1</v>
      </c>
      <c r="H81" s="7">
        <v>45526</v>
      </c>
      <c r="I81" s="1">
        <v>581.16</v>
      </c>
      <c r="J81" s="8">
        <f t="shared" si="6"/>
        <v>7928.71</v>
      </c>
      <c r="K81" s="9">
        <f t="shared" si="7"/>
        <v>79</v>
      </c>
      <c r="L81" s="10">
        <f t="shared" ca="1" si="8"/>
        <v>46280.699263773146</v>
      </c>
    </row>
    <row r="82" spans="1:12" ht="15.75" customHeight="1" x14ac:dyDescent="0.3">
      <c r="A82" s="6" t="s">
        <v>30</v>
      </c>
      <c r="B82" s="6" t="s">
        <v>60</v>
      </c>
      <c r="C82" s="6" t="s">
        <v>29</v>
      </c>
      <c r="D82" s="6" t="s">
        <v>17</v>
      </c>
      <c r="E82" s="6">
        <v>679.71</v>
      </c>
      <c r="F82" s="6">
        <v>19</v>
      </c>
      <c r="G82" s="6">
        <v>0</v>
      </c>
      <c r="H82" s="7">
        <v>45534</v>
      </c>
      <c r="I82" s="1">
        <v>271.88</v>
      </c>
      <c r="J82" s="8">
        <f t="shared" si="6"/>
        <v>9941.8799999999992</v>
      </c>
      <c r="K82" s="9">
        <f t="shared" si="7"/>
        <v>24</v>
      </c>
      <c r="L82" s="10">
        <f t="shared" ca="1" si="8"/>
        <v>46280.699263773146</v>
      </c>
    </row>
    <row r="83" spans="1:12" ht="15.75" customHeight="1" x14ac:dyDescent="0.3">
      <c r="A83" s="6" t="s">
        <v>73</v>
      </c>
      <c r="B83" s="6" t="s">
        <v>38</v>
      </c>
      <c r="C83" s="6" t="s">
        <v>23</v>
      </c>
      <c r="D83" s="6" t="s">
        <v>32</v>
      </c>
      <c r="E83" s="6">
        <v>1143.69</v>
      </c>
      <c r="F83" s="6">
        <v>17</v>
      </c>
      <c r="G83" s="6">
        <v>0</v>
      </c>
      <c r="H83" s="7">
        <v>45534</v>
      </c>
      <c r="I83" s="1">
        <v>400.29</v>
      </c>
      <c r="J83" s="8">
        <f t="shared" si="6"/>
        <v>4413.71</v>
      </c>
      <c r="K83" s="9">
        <f t="shared" si="7"/>
        <v>169</v>
      </c>
      <c r="L83" s="10">
        <f t="shared" ca="1" si="8"/>
        <v>46280.699263773146</v>
      </c>
    </row>
    <row r="84" spans="1:12" ht="15.75" customHeight="1" x14ac:dyDescent="0.3">
      <c r="A84" s="6" t="s">
        <v>57</v>
      </c>
      <c r="B84" s="6" t="s">
        <v>55</v>
      </c>
      <c r="C84" s="6" t="s">
        <v>39</v>
      </c>
      <c r="D84" s="6" t="s">
        <v>26</v>
      </c>
      <c r="E84" s="6">
        <v>790.08</v>
      </c>
      <c r="F84" s="6">
        <v>7</v>
      </c>
      <c r="G84" s="6">
        <v>0.1</v>
      </c>
      <c r="H84" s="7">
        <v>45536</v>
      </c>
      <c r="I84" s="1">
        <v>177.77</v>
      </c>
      <c r="J84" s="8">
        <f t="shared" si="6"/>
        <v>10293.870000000001</v>
      </c>
      <c r="K84" s="9">
        <f t="shared" si="7"/>
        <v>12</v>
      </c>
      <c r="L84" s="10">
        <f t="shared" ca="1" si="8"/>
        <v>46280.699263773146</v>
      </c>
    </row>
    <row r="85" spans="1:12" ht="15.75" customHeight="1" x14ac:dyDescent="0.3">
      <c r="A85" s="6" t="s">
        <v>24</v>
      </c>
      <c r="B85" s="6" t="s">
        <v>53</v>
      </c>
      <c r="C85" s="6" t="s">
        <v>39</v>
      </c>
      <c r="D85" s="6" t="s">
        <v>17</v>
      </c>
      <c r="E85" s="6">
        <v>1070.68</v>
      </c>
      <c r="F85" s="6">
        <v>7</v>
      </c>
      <c r="G85" s="6">
        <v>0.05</v>
      </c>
      <c r="H85" s="7">
        <v>45536</v>
      </c>
      <c r="I85" s="1">
        <v>406.86</v>
      </c>
      <c r="J85" s="8">
        <f t="shared" si="6"/>
        <v>6666.130000000001</v>
      </c>
      <c r="K85" s="9">
        <f t="shared" si="7"/>
        <v>114</v>
      </c>
      <c r="L85" s="10">
        <f t="shared" ca="1" si="8"/>
        <v>46280.699263773146</v>
      </c>
    </row>
    <row r="86" spans="1:12" ht="15.75" customHeight="1" x14ac:dyDescent="0.3">
      <c r="A86" s="6" t="s">
        <v>63</v>
      </c>
      <c r="B86" s="6" t="s">
        <v>41</v>
      </c>
      <c r="C86" s="6" t="s">
        <v>16</v>
      </c>
      <c r="D86" s="6" t="s">
        <v>20</v>
      </c>
      <c r="E86" s="6">
        <v>1168.8900000000001</v>
      </c>
      <c r="F86" s="6">
        <v>4</v>
      </c>
      <c r="G86" s="6">
        <v>0.1</v>
      </c>
      <c r="H86" s="7">
        <v>45544</v>
      </c>
      <c r="I86" s="1">
        <v>526</v>
      </c>
      <c r="J86" s="8">
        <f t="shared" si="6"/>
        <v>11611.060000000001</v>
      </c>
      <c r="K86" s="9">
        <f t="shared" si="7"/>
        <v>1</v>
      </c>
      <c r="L86" s="10">
        <f t="shared" ca="1" si="8"/>
        <v>46280.699263773146</v>
      </c>
    </row>
    <row r="87" spans="1:12" ht="15.75" customHeight="1" x14ac:dyDescent="0.3">
      <c r="A87" s="6" t="s">
        <v>72</v>
      </c>
      <c r="B87" s="6" t="s">
        <v>15</v>
      </c>
      <c r="C87" s="6" t="s">
        <v>25</v>
      </c>
      <c r="D87" s="6" t="s">
        <v>26</v>
      </c>
      <c r="E87" s="6">
        <v>1335.87</v>
      </c>
      <c r="F87" s="6">
        <v>17</v>
      </c>
      <c r="G87" s="6">
        <v>0</v>
      </c>
      <c r="H87" s="7">
        <v>45544</v>
      </c>
      <c r="I87" s="1">
        <v>333.97</v>
      </c>
      <c r="J87" s="8">
        <f t="shared" si="6"/>
        <v>8490.18</v>
      </c>
      <c r="K87" s="9">
        <f t="shared" si="7"/>
        <v>61</v>
      </c>
      <c r="L87" s="10">
        <f t="shared" ca="1" si="8"/>
        <v>46280.699263773146</v>
      </c>
    </row>
    <row r="88" spans="1:12" ht="15.75" customHeight="1" x14ac:dyDescent="0.3">
      <c r="A88" s="6" t="s">
        <v>45</v>
      </c>
      <c r="B88" s="6" t="s">
        <v>60</v>
      </c>
      <c r="C88" s="6" t="s">
        <v>23</v>
      </c>
      <c r="D88" s="6" t="s">
        <v>32</v>
      </c>
      <c r="E88" s="6">
        <v>873.7</v>
      </c>
      <c r="F88" s="6">
        <v>9</v>
      </c>
      <c r="G88" s="6">
        <v>0</v>
      </c>
      <c r="H88" s="7">
        <v>45546</v>
      </c>
      <c r="I88" s="1">
        <v>305.8</v>
      </c>
      <c r="J88" s="8">
        <f t="shared" si="6"/>
        <v>5913.68</v>
      </c>
      <c r="K88" s="9">
        <f t="shared" si="7"/>
        <v>140</v>
      </c>
      <c r="L88" s="10">
        <f t="shared" ca="1" si="8"/>
        <v>46280.699263773146</v>
      </c>
    </row>
    <row r="89" spans="1:12" ht="15.75" customHeight="1" x14ac:dyDescent="0.3">
      <c r="A89" s="6" t="s">
        <v>77</v>
      </c>
      <c r="B89" s="6" t="s">
        <v>69</v>
      </c>
      <c r="C89" s="6" t="s">
        <v>16</v>
      </c>
      <c r="D89" s="6" t="s">
        <v>44</v>
      </c>
      <c r="E89" s="6">
        <v>1443.98</v>
      </c>
      <c r="F89" s="6">
        <v>19</v>
      </c>
      <c r="G89" s="6">
        <v>0</v>
      </c>
      <c r="H89" s="7">
        <v>45547</v>
      </c>
      <c r="I89" s="1">
        <v>649.79</v>
      </c>
      <c r="J89" s="8">
        <f t="shared" si="6"/>
        <v>7813.59</v>
      </c>
      <c r="K89" s="9">
        <f t="shared" si="7"/>
        <v>88</v>
      </c>
      <c r="L89" s="10">
        <f t="shared" ca="1" si="8"/>
        <v>46280.699263773146</v>
      </c>
    </row>
    <row r="90" spans="1:12" ht="15.75" customHeight="1" x14ac:dyDescent="0.3">
      <c r="A90" s="6" t="s">
        <v>45</v>
      </c>
      <c r="B90" s="6" t="s">
        <v>28</v>
      </c>
      <c r="C90" s="6" t="s">
        <v>23</v>
      </c>
      <c r="D90" s="6" t="s">
        <v>44</v>
      </c>
      <c r="E90" s="6">
        <v>1154.33</v>
      </c>
      <c r="F90" s="6">
        <v>11</v>
      </c>
      <c r="G90" s="6">
        <v>0.15</v>
      </c>
      <c r="H90" s="7">
        <v>45549</v>
      </c>
      <c r="I90" s="1">
        <v>441.53</v>
      </c>
      <c r="J90" s="8">
        <f t="shared" si="6"/>
        <v>5913.68</v>
      </c>
      <c r="K90" s="9">
        <f t="shared" si="7"/>
        <v>140</v>
      </c>
      <c r="L90" s="10">
        <f t="shared" ca="1" si="8"/>
        <v>46280.699263773146</v>
      </c>
    </row>
    <row r="91" spans="1:12" ht="15.75" customHeight="1" x14ac:dyDescent="0.3">
      <c r="A91" s="6" t="s">
        <v>54</v>
      </c>
      <c r="B91" s="6" t="s">
        <v>55</v>
      </c>
      <c r="C91" s="6" t="s">
        <v>25</v>
      </c>
      <c r="D91" s="6" t="s">
        <v>17</v>
      </c>
      <c r="E91" s="6">
        <v>1264.49</v>
      </c>
      <c r="F91" s="6">
        <v>16</v>
      </c>
      <c r="G91" s="6">
        <v>0.05</v>
      </c>
      <c r="H91" s="7">
        <v>45549</v>
      </c>
      <c r="I91" s="1">
        <v>480.51</v>
      </c>
      <c r="J91" s="8">
        <f t="shared" si="6"/>
        <v>4418.2800000000007</v>
      </c>
      <c r="K91" s="9">
        <f t="shared" si="7"/>
        <v>164</v>
      </c>
      <c r="L91" s="10">
        <f t="shared" ca="1" si="8"/>
        <v>46280.699263773146</v>
      </c>
    </row>
    <row r="92" spans="1:12" ht="15.75" customHeight="1" x14ac:dyDescent="0.3">
      <c r="A92" s="6" t="s">
        <v>30</v>
      </c>
      <c r="B92" s="6" t="s">
        <v>71</v>
      </c>
      <c r="C92" s="6" t="s">
        <v>16</v>
      </c>
      <c r="D92" s="6" t="s">
        <v>32</v>
      </c>
      <c r="E92" s="6">
        <v>1101.55</v>
      </c>
      <c r="F92" s="6">
        <v>4</v>
      </c>
      <c r="G92" s="6">
        <v>0.1</v>
      </c>
      <c r="H92" s="7">
        <v>45551</v>
      </c>
      <c r="I92" s="1">
        <v>346.99</v>
      </c>
      <c r="J92" s="8">
        <f t="shared" si="6"/>
        <v>9941.8799999999992</v>
      </c>
      <c r="K92" s="9">
        <f t="shared" si="7"/>
        <v>24</v>
      </c>
      <c r="L92" s="10">
        <f t="shared" ca="1" si="8"/>
        <v>46280.699263773146</v>
      </c>
    </row>
    <row r="93" spans="1:12" ht="15.75" customHeight="1" x14ac:dyDescent="0.3">
      <c r="A93" s="6" t="s">
        <v>78</v>
      </c>
      <c r="B93" s="6" t="s">
        <v>19</v>
      </c>
      <c r="C93" s="6" t="s">
        <v>25</v>
      </c>
      <c r="D93" s="6" t="s">
        <v>32</v>
      </c>
      <c r="E93" s="6">
        <v>727.73</v>
      </c>
      <c r="F93" s="6">
        <v>1</v>
      </c>
      <c r="G93" s="6">
        <v>0.1</v>
      </c>
      <c r="H93" s="7">
        <v>45552</v>
      </c>
      <c r="I93" s="1">
        <v>229.23</v>
      </c>
      <c r="J93" s="8">
        <f t="shared" si="6"/>
        <v>4162.4400000000005</v>
      </c>
      <c r="K93" s="9">
        <f t="shared" si="7"/>
        <v>178</v>
      </c>
      <c r="L93" s="10">
        <f t="shared" ca="1" si="8"/>
        <v>46280.699263773146</v>
      </c>
    </row>
    <row r="94" spans="1:12" ht="15.75" customHeight="1" x14ac:dyDescent="0.3">
      <c r="A94" s="6" t="s">
        <v>79</v>
      </c>
      <c r="B94" s="6" t="s">
        <v>43</v>
      </c>
      <c r="C94" s="6" t="s">
        <v>23</v>
      </c>
      <c r="D94" s="6" t="s">
        <v>44</v>
      </c>
      <c r="E94" s="6">
        <v>875.41</v>
      </c>
      <c r="F94" s="6">
        <v>13</v>
      </c>
      <c r="G94" s="6">
        <v>0.15</v>
      </c>
      <c r="H94" s="7">
        <v>45552</v>
      </c>
      <c r="I94" s="1">
        <v>334.84</v>
      </c>
      <c r="J94" s="8">
        <f t="shared" si="6"/>
        <v>3906.04</v>
      </c>
      <c r="K94" s="9">
        <f t="shared" si="7"/>
        <v>182</v>
      </c>
      <c r="L94" s="10">
        <f t="shared" ca="1" si="8"/>
        <v>46280.699263773146</v>
      </c>
    </row>
    <row r="95" spans="1:12" ht="15.75" customHeight="1" x14ac:dyDescent="0.3">
      <c r="A95" s="6" t="s">
        <v>72</v>
      </c>
      <c r="B95" s="6" t="s">
        <v>28</v>
      </c>
      <c r="C95" s="6" t="s">
        <v>16</v>
      </c>
      <c r="D95" s="6" t="s">
        <v>26</v>
      </c>
      <c r="E95" s="6">
        <v>1158.94</v>
      </c>
      <c r="F95" s="6">
        <v>19</v>
      </c>
      <c r="G95" s="6">
        <v>0.2</v>
      </c>
      <c r="H95" s="7">
        <v>45553</v>
      </c>
      <c r="I95" s="1">
        <v>231.79</v>
      </c>
      <c r="J95" s="8">
        <f t="shared" si="6"/>
        <v>8490.18</v>
      </c>
      <c r="K95" s="9">
        <f t="shared" si="7"/>
        <v>61</v>
      </c>
      <c r="L95" s="10">
        <f t="shared" ca="1" si="8"/>
        <v>46280.699263773146</v>
      </c>
    </row>
    <row r="96" spans="1:12" ht="15.75" customHeight="1" x14ac:dyDescent="0.3">
      <c r="A96" s="6" t="s">
        <v>80</v>
      </c>
      <c r="B96" s="6" t="s">
        <v>52</v>
      </c>
      <c r="C96" s="6" t="s">
        <v>25</v>
      </c>
      <c r="D96" s="6" t="s">
        <v>17</v>
      </c>
      <c r="E96" s="6">
        <v>966.3</v>
      </c>
      <c r="F96" s="6">
        <v>2</v>
      </c>
      <c r="G96" s="6">
        <v>0.15</v>
      </c>
      <c r="H96" s="7">
        <v>45557</v>
      </c>
      <c r="I96" s="1">
        <v>328.54</v>
      </c>
      <c r="J96" s="8">
        <f t="shared" si="6"/>
        <v>4951.8899999999994</v>
      </c>
      <c r="K96" s="9">
        <f t="shared" si="7"/>
        <v>154</v>
      </c>
      <c r="L96" s="10">
        <f t="shared" ca="1" si="8"/>
        <v>46280.699263773146</v>
      </c>
    </row>
    <row r="97" spans="1:12" ht="15.75" customHeight="1" x14ac:dyDescent="0.3">
      <c r="A97" s="6" t="s">
        <v>73</v>
      </c>
      <c r="B97" s="6" t="s">
        <v>22</v>
      </c>
      <c r="C97" s="6" t="s">
        <v>25</v>
      </c>
      <c r="D97" s="6" t="s">
        <v>17</v>
      </c>
      <c r="E97" s="6">
        <v>917.48</v>
      </c>
      <c r="F97" s="6">
        <v>6</v>
      </c>
      <c r="G97" s="6">
        <v>0</v>
      </c>
      <c r="H97" s="7">
        <v>45558</v>
      </c>
      <c r="I97" s="1">
        <v>366.99</v>
      </c>
      <c r="J97" s="8">
        <f t="shared" si="6"/>
        <v>4413.71</v>
      </c>
      <c r="K97" s="9">
        <f t="shared" si="7"/>
        <v>169</v>
      </c>
      <c r="L97" s="10">
        <f t="shared" ca="1" si="8"/>
        <v>46280.699263773146</v>
      </c>
    </row>
    <row r="98" spans="1:12" ht="15.75" customHeight="1" x14ac:dyDescent="0.3">
      <c r="A98" s="6" t="s">
        <v>46</v>
      </c>
      <c r="B98" s="6" t="s">
        <v>66</v>
      </c>
      <c r="C98" s="6" t="s">
        <v>16</v>
      </c>
      <c r="D98" s="6" t="s">
        <v>32</v>
      </c>
      <c r="E98" s="6">
        <v>1172.97</v>
      </c>
      <c r="F98" s="6">
        <v>7</v>
      </c>
      <c r="G98" s="6">
        <v>0.15</v>
      </c>
      <c r="H98" s="7">
        <v>45559</v>
      </c>
      <c r="I98" s="1">
        <v>348.96</v>
      </c>
      <c r="J98" s="8">
        <f t="shared" ref="J98:J129" si="9">SUMIF($A$2:$A$201,A98,$E$2:$E$201)</f>
        <v>5779.05</v>
      </c>
      <c r="K98" s="9">
        <f t="shared" ref="K98:K129" si="10">RANK(J98,$J$2:$J$201)</f>
        <v>147</v>
      </c>
      <c r="L98" s="10">
        <f t="shared" ref="L98:L129" ca="1" si="11">NOW()</f>
        <v>46280.699263773146</v>
      </c>
    </row>
    <row r="99" spans="1:12" ht="15.75" customHeight="1" x14ac:dyDescent="0.3">
      <c r="A99" s="6" t="s">
        <v>62</v>
      </c>
      <c r="B99" s="6" t="s">
        <v>28</v>
      </c>
      <c r="C99" s="6" t="s">
        <v>29</v>
      </c>
      <c r="D99" s="6" t="s">
        <v>20</v>
      </c>
      <c r="E99" s="6">
        <v>1205.82</v>
      </c>
      <c r="F99" s="6">
        <v>11</v>
      </c>
      <c r="G99" s="6">
        <v>0.1</v>
      </c>
      <c r="H99" s="7">
        <v>45559</v>
      </c>
      <c r="I99" s="1">
        <v>542.62</v>
      </c>
      <c r="J99" s="8">
        <f t="shared" si="9"/>
        <v>8740.18</v>
      </c>
      <c r="K99" s="9">
        <f t="shared" si="10"/>
        <v>53</v>
      </c>
      <c r="L99" s="10">
        <f t="shared" ca="1" si="11"/>
        <v>46280.699263773146</v>
      </c>
    </row>
    <row r="100" spans="1:12" ht="15.75" customHeight="1" x14ac:dyDescent="0.3">
      <c r="A100" s="6" t="s">
        <v>21</v>
      </c>
      <c r="B100" s="6" t="s">
        <v>69</v>
      </c>
      <c r="C100" s="6" t="s">
        <v>16</v>
      </c>
      <c r="D100" s="6" t="s">
        <v>44</v>
      </c>
      <c r="E100" s="6">
        <v>826.93</v>
      </c>
      <c r="F100" s="6">
        <v>10</v>
      </c>
      <c r="G100" s="6">
        <v>0.2</v>
      </c>
      <c r="H100" s="7">
        <v>45564</v>
      </c>
      <c r="I100" s="1">
        <v>297.69</v>
      </c>
      <c r="J100" s="8">
        <f t="shared" si="9"/>
        <v>3419.2</v>
      </c>
      <c r="K100" s="9">
        <f t="shared" si="10"/>
        <v>191</v>
      </c>
      <c r="L100" s="10">
        <f t="shared" ca="1" si="11"/>
        <v>46280.699263773146</v>
      </c>
    </row>
    <row r="101" spans="1:12" ht="15.75" customHeight="1" x14ac:dyDescent="0.3">
      <c r="A101" s="6" t="s">
        <v>72</v>
      </c>
      <c r="B101" s="6" t="s">
        <v>28</v>
      </c>
      <c r="C101" s="6" t="s">
        <v>39</v>
      </c>
      <c r="D101" s="6" t="s">
        <v>20</v>
      </c>
      <c r="E101" s="6">
        <v>902.19</v>
      </c>
      <c r="F101" s="6">
        <v>12</v>
      </c>
      <c r="G101" s="6">
        <v>0</v>
      </c>
      <c r="H101" s="7">
        <v>45564</v>
      </c>
      <c r="I101" s="1">
        <v>451.1</v>
      </c>
      <c r="J101" s="8">
        <f t="shared" si="9"/>
        <v>8490.18</v>
      </c>
      <c r="K101" s="9">
        <f t="shared" si="10"/>
        <v>61</v>
      </c>
      <c r="L101" s="10">
        <f t="shared" ca="1" si="11"/>
        <v>46280.699263773146</v>
      </c>
    </row>
    <row r="102" spans="1:12" ht="15.75" customHeight="1" x14ac:dyDescent="0.3">
      <c r="A102" s="6" t="s">
        <v>79</v>
      </c>
      <c r="B102" s="6" t="s">
        <v>43</v>
      </c>
      <c r="C102" s="6" t="s">
        <v>29</v>
      </c>
      <c r="D102" s="6" t="s">
        <v>17</v>
      </c>
      <c r="E102" s="6">
        <v>585.97</v>
      </c>
      <c r="F102" s="6">
        <v>17</v>
      </c>
      <c r="G102" s="6">
        <v>0.1</v>
      </c>
      <c r="H102" s="7">
        <v>45565</v>
      </c>
      <c r="I102" s="1">
        <v>210.95</v>
      </c>
      <c r="J102" s="8">
        <f t="shared" si="9"/>
        <v>3906.04</v>
      </c>
      <c r="K102" s="9">
        <f t="shared" si="10"/>
        <v>182</v>
      </c>
      <c r="L102" s="10">
        <f t="shared" ca="1" si="11"/>
        <v>46280.699263773146</v>
      </c>
    </row>
    <row r="103" spans="1:12" ht="15.75" customHeight="1" x14ac:dyDescent="0.3">
      <c r="A103" s="6" t="s">
        <v>65</v>
      </c>
      <c r="B103" s="6" t="s">
        <v>31</v>
      </c>
      <c r="C103" s="6" t="s">
        <v>29</v>
      </c>
      <c r="D103" s="6" t="s">
        <v>20</v>
      </c>
      <c r="E103" s="6">
        <v>990.19</v>
      </c>
      <c r="F103" s="6">
        <v>8</v>
      </c>
      <c r="G103" s="6">
        <v>0.1</v>
      </c>
      <c r="H103" s="7">
        <v>45565</v>
      </c>
      <c r="I103" s="1">
        <v>445.59</v>
      </c>
      <c r="J103" s="8">
        <f t="shared" si="9"/>
        <v>3369.17</v>
      </c>
      <c r="K103" s="9">
        <f t="shared" si="10"/>
        <v>195</v>
      </c>
      <c r="L103" s="10">
        <f t="shared" ca="1" si="11"/>
        <v>46280.699263773146</v>
      </c>
    </row>
    <row r="104" spans="1:12" ht="15.75" customHeight="1" x14ac:dyDescent="0.3">
      <c r="A104" s="6" t="s">
        <v>49</v>
      </c>
      <c r="B104" s="6" t="s">
        <v>61</v>
      </c>
      <c r="C104" s="6" t="s">
        <v>39</v>
      </c>
      <c r="D104" s="6" t="s">
        <v>26</v>
      </c>
      <c r="E104" s="6">
        <v>1014.09</v>
      </c>
      <c r="F104" s="6">
        <v>13</v>
      </c>
      <c r="G104" s="6">
        <v>0.2</v>
      </c>
      <c r="H104" s="7">
        <v>45567</v>
      </c>
      <c r="I104" s="1">
        <v>202.82</v>
      </c>
      <c r="J104" s="8">
        <f t="shared" si="9"/>
        <v>9760.7999999999993</v>
      </c>
      <c r="K104" s="9">
        <f t="shared" si="10"/>
        <v>34</v>
      </c>
      <c r="L104" s="10">
        <f t="shared" ca="1" si="11"/>
        <v>46280.699263773146</v>
      </c>
    </row>
    <row r="105" spans="1:12" ht="15.75" customHeight="1" x14ac:dyDescent="0.3">
      <c r="A105" s="6" t="s">
        <v>18</v>
      </c>
      <c r="B105" s="6" t="s">
        <v>53</v>
      </c>
      <c r="C105" s="6" t="s">
        <v>29</v>
      </c>
      <c r="D105" s="6" t="s">
        <v>26</v>
      </c>
      <c r="E105" s="6">
        <v>925.29</v>
      </c>
      <c r="F105" s="6">
        <v>17</v>
      </c>
      <c r="G105" s="6">
        <v>0</v>
      </c>
      <c r="H105" s="7">
        <v>45570</v>
      </c>
      <c r="I105" s="1">
        <v>231.32</v>
      </c>
      <c r="J105" s="8">
        <f t="shared" si="9"/>
        <v>8339</v>
      </c>
      <c r="K105" s="9">
        <f t="shared" si="10"/>
        <v>70</v>
      </c>
      <c r="L105" s="10">
        <f t="shared" ca="1" si="11"/>
        <v>46280.699263773146</v>
      </c>
    </row>
    <row r="106" spans="1:12" ht="15.75" customHeight="1" x14ac:dyDescent="0.3">
      <c r="A106" s="6" t="s">
        <v>59</v>
      </c>
      <c r="B106" s="6" t="s">
        <v>52</v>
      </c>
      <c r="C106" s="6" t="s">
        <v>23</v>
      </c>
      <c r="D106" s="6" t="s">
        <v>32</v>
      </c>
      <c r="E106" s="6">
        <v>1286.54</v>
      </c>
      <c r="F106" s="6">
        <v>8</v>
      </c>
      <c r="G106" s="6">
        <v>0</v>
      </c>
      <c r="H106" s="7">
        <v>45575</v>
      </c>
      <c r="I106" s="1">
        <v>450.29</v>
      </c>
      <c r="J106" s="8">
        <f t="shared" si="9"/>
        <v>6716.52</v>
      </c>
      <c r="K106" s="9">
        <f t="shared" si="10"/>
        <v>108</v>
      </c>
      <c r="L106" s="10">
        <f t="shared" ca="1" si="11"/>
        <v>46280.699263773146</v>
      </c>
    </row>
    <row r="107" spans="1:12" ht="15.75" customHeight="1" x14ac:dyDescent="0.3">
      <c r="A107" s="6" t="s">
        <v>42</v>
      </c>
      <c r="B107" s="6" t="s">
        <v>69</v>
      </c>
      <c r="C107" s="6" t="s">
        <v>25</v>
      </c>
      <c r="D107" s="6" t="s">
        <v>17</v>
      </c>
      <c r="E107" s="6">
        <v>961.62</v>
      </c>
      <c r="F107" s="6">
        <v>8</v>
      </c>
      <c r="G107" s="6">
        <v>0.2</v>
      </c>
      <c r="H107" s="7">
        <v>45577</v>
      </c>
      <c r="I107" s="1">
        <v>307.72000000000003</v>
      </c>
      <c r="J107" s="8">
        <f t="shared" si="9"/>
        <v>6729.8899999999994</v>
      </c>
      <c r="K107" s="9">
        <f t="shared" si="10"/>
        <v>102</v>
      </c>
      <c r="L107" s="10">
        <f t="shared" ca="1" si="11"/>
        <v>46280.699263773146</v>
      </c>
    </row>
    <row r="108" spans="1:12" ht="15.75" customHeight="1" x14ac:dyDescent="0.3">
      <c r="A108" s="6" t="s">
        <v>49</v>
      </c>
      <c r="B108" s="6" t="s">
        <v>28</v>
      </c>
      <c r="C108" s="6" t="s">
        <v>23</v>
      </c>
      <c r="D108" s="6" t="s">
        <v>17</v>
      </c>
      <c r="E108" s="6">
        <v>1081.1400000000001</v>
      </c>
      <c r="F108" s="6">
        <v>19</v>
      </c>
      <c r="G108" s="6">
        <v>0.15</v>
      </c>
      <c r="H108" s="7">
        <v>45577</v>
      </c>
      <c r="I108" s="1">
        <v>367.59</v>
      </c>
      <c r="J108" s="8">
        <f t="shared" si="9"/>
        <v>9760.7999999999993</v>
      </c>
      <c r="K108" s="9">
        <f t="shared" si="10"/>
        <v>34</v>
      </c>
      <c r="L108" s="10">
        <f t="shared" ca="1" si="11"/>
        <v>46280.699263773146</v>
      </c>
    </row>
    <row r="109" spans="1:12" ht="15.75" customHeight="1" x14ac:dyDescent="0.3">
      <c r="A109" s="6" t="s">
        <v>63</v>
      </c>
      <c r="B109" s="6" t="s">
        <v>28</v>
      </c>
      <c r="C109" s="6" t="s">
        <v>16</v>
      </c>
      <c r="D109" s="6" t="s">
        <v>20</v>
      </c>
      <c r="E109" s="6">
        <v>1923.66</v>
      </c>
      <c r="F109" s="6">
        <v>9</v>
      </c>
      <c r="G109" s="6">
        <v>0.2</v>
      </c>
      <c r="H109" s="7">
        <v>45580</v>
      </c>
      <c r="I109" s="1">
        <v>769.46</v>
      </c>
      <c r="J109" s="8">
        <f t="shared" si="9"/>
        <v>11611.060000000001</v>
      </c>
      <c r="K109" s="9">
        <f t="shared" si="10"/>
        <v>1</v>
      </c>
      <c r="L109" s="10">
        <f t="shared" ca="1" si="11"/>
        <v>46280.699263773146</v>
      </c>
    </row>
    <row r="110" spans="1:12" ht="15.75" customHeight="1" x14ac:dyDescent="0.3">
      <c r="A110" s="6" t="s">
        <v>59</v>
      </c>
      <c r="B110" s="6" t="s">
        <v>71</v>
      </c>
      <c r="C110" s="6" t="s">
        <v>39</v>
      </c>
      <c r="D110" s="6" t="s">
        <v>20</v>
      </c>
      <c r="E110" s="6">
        <v>728.71</v>
      </c>
      <c r="F110" s="6">
        <v>14</v>
      </c>
      <c r="G110" s="6">
        <v>0.1</v>
      </c>
      <c r="H110" s="7">
        <v>45581</v>
      </c>
      <c r="I110" s="1">
        <v>327.92</v>
      </c>
      <c r="J110" s="8">
        <f t="shared" si="9"/>
        <v>6716.52</v>
      </c>
      <c r="K110" s="9">
        <f t="shared" si="10"/>
        <v>108</v>
      </c>
      <c r="L110" s="10">
        <f t="shared" ca="1" si="11"/>
        <v>46280.699263773146</v>
      </c>
    </row>
    <row r="111" spans="1:12" ht="15.75" customHeight="1" x14ac:dyDescent="0.3">
      <c r="A111" s="6" t="s">
        <v>14</v>
      </c>
      <c r="B111" s="6" t="s">
        <v>38</v>
      </c>
      <c r="C111" s="6" t="s">
        <v>39</v>
      </c>
      <c r="D111" s="6" t="s">
        <v>20</v>
      </c>
      <c r="E111" s="6">
        <v>1301.8900000000001</v>
      </c>
      <c r="F111" s="6">
        <v>7</v>
      </c>
      <c r="G111" s="6">
        <v>0.15</v>
      </c>
      <c r="H111" s="7">
        <v>45581</v>
      </c>
      <c r="I111" s="1">
        <v>553.29999999999995</v>
      </c>
      <c r="J111" s="8">
        <f t="shared" si="9"/>
        <v>4640.1099999999997</v>
      </c>
      <c r="K111" s="9">
        <f t="shared" si="10"/>
        <v>159</v>
      </c>
      <c r="L111" s="10">
        <f t="shared" ca="1" si="11"/>
        <v>46280.699263773146</v>
      </c>
    </row>
    <row r="112" spans="1:12" ht="15.75" customHeight="1" x14ac:dyDescent="0.3">
      <c r="A112" s="6" t="s">
        <v>75</v>
      </c>
      <c r="B112" s="6" t="s">
        <v>71</v>
      </c>
      <c r="C112" s="6" t="s">
        <v>23</v>
      </c>
      <c r="D112" s="6" t="s">
        <v>17</v>
      </c>
      <c r="E112" s="6">
        <v>980.18</v>
      </c>
      <c r="F112" s="6">
        <v>16</v>
      </c>
      <c r="G112" s="6">
        <v>0.1</v>
      </c>
      <c r="H112" s="7">
        <v>45582</v>
      </c>
      <c r="I112" s="1">
        <v>352.86</v>
      </c>
      <c r="J112" s="8">
        <f t="shared" si="9"/>
        <v>7583.1299999999992</v>
      </c>
      <c r="K112" s="9">
        <f t="shared" si="10"/>
        <v>95</v>
      </c>
      <c r="L112" s="10">
        <f t="shared" ca="1" si="11"/>
        <v>46280.699263773146</v>
      </c>
    </row>
    <row r="113" spans="1:12" ht="15.75" customHeight="1" x14ac:dyDescent="0.3">
      <c r="A113" s="6" t="s">
        <v>79</v>
      </c>
      <c r="B113" s="6" t="s">
        <v>28</v>
      </c>
      <c r="C113" s="6" t="s">
        <v>16</v>
      </c>
      <c r="D113" s="6" t="s">
        <v>20</v>
      </c>
      <c r="E113" s="6">
        <v>697.57</v>
      </c>
      <c r="F113" s="6">
        <v>17</v>
      </c>
      <c r="G113" s="6">
        <v>0.1</v>
      </c>
      <c r="H113" s="7">
        <v>45584</v>
      </c>
      <c r="I113" s="1">
        <v>313.91000000000003</v>
      </c>
      <c r="J113" s="8">
        <f t="shared" si="9"/>
        <v>3906.04</v>
      </c>
      <c r="K113" s="9">
        <f t="shared" si="10"/>
        <v>182</v>
      </c>
      <c r="L113" s="10">
        <f t="shared" ca="1" si="11"/>
        <v>46280.699263773146</v>
      </c>
    </row>
    <row r="114" spans="1:12" ht="15.75" customHeight="1" x14ac:dyDescent="0.3">
      <c r="A114" s="6" t="s">
        <v>51</v>
      </c>
      <c r="B114" s="6" t="s">
        <v>76</v>
      </c>
      <c r="C114" s="6" t="s">
        <v>16</v>
      </c>
      <c r="D114" s="6" t="s">
        <v>32</v>
      </c>
      <c r="E114" s="6">
        <v>1193.6099999999999</v>
      </c>
      <c r="F114" s="6">
        <v>1</v>
      </c>
      <c r="G114" s="6">
        <v>0.15</v>
      </c>
      <c r="H114" s="7">
        <v>45584</v>
      </c>
      <c r="I114" s="1">
        <v>355.1</v>
      </c>
      <c r="J114" s="8">
        <f t="shared" si="9"/>
        <v>2699.75</v>
      </c>
      <c r="K114" s="9">
        <f t="shared" si="10"/>
        <v>199</v>
      </c>
      <c r="L114" s="10">
        <f t="shared" ca="1" si="11"/>
        <v>46280.699263773146</v>
      </c>
    </row>
    <row r="115" spans="1:12" ht="15.75" customHeight="1" x14ac:dyDescent="0.3">
      <c r="A115" s="6" t="s">
        <v>37</v>
      </c>
      <c r="B115" s="6" t="s">
        <v>43</v>
      </c>
      <c r="C115" s="6" t="s">
        <v>25</v>
      </c>
      <c r="D115" s="6" t="s">
        <v>26</v>
      </c>
      <c r="E115" s="6">
        <v>771.02</v>
      </c>
      <c r="F115" s="6">
        <v>1</v>
      </c>
      <c r="G115" s="6">
        <v>0</v>
      </c>
      <c r="H115" s="7">
        <v>45585</v>
      </c>
      <c r="I115" s="1">
        <v>192.76</v>
      </c>
      <c r="J115" s="8">
        <f t="shared" si="9"/>
        <v>6505.2</v>
      </c>
      <c r="K115" s="9">
        <f t="shared" si="10"/>
        <v>127</v>
      </c>
      <c r="L115" s="10">
        <f t="shared" ca="1" si="11"/>
        <v>46280.699263773146</v>
      </c>
    </row>
    <row r="116" spans="1:12" ht="15.75" customHeight="1" x14ac:dyDescent="0.3">
      <c r="A116" s="6" t="s">
        <v>72</v>
      </c>
      <c r="B116" s="6" t="s">
        <v>74</v>
      </c>
      <c r="C116" s="6" t="s">
        <v>29</v>
      </c>
      <c r="D116" s="6" t="s">
        <v>20</v>
      </c>
      <c r="E116" s="6">
        <v>661.09</v>
      </c>
      <c r="F116" s="6">
        <v>1</v>
      </c>
      <c r="G116" s="6">
        <v>0.2</v>
      </c>
      <c r="H116" s="7">
        <v>45593</v>
      </c>
      <c r="I116" s="1">
        <v>264.44</v>
      </c>
      <c r="J116" s="8">
        <f t="shared" si="9"/>
        <v>8490.18</v>
      </c>
      <c r="K116" s="9">
        <f t="shared" si="10"/>
        <v>61</v>
      </c>
      <c r="L116" s="10">
        <f t="shared" ca="1" si="11"/>
        <v>46280.699263773146</v>
      </c>
    </row>
    <row r="117" spans="1:12" ht="15.75" customHeight="1" x14ac:dyDescent="0.3">
      <c r="A117" s="6" t="s">
        <v>18</v>
      </c>
      <c r="B117" s="6" t="s">
        <v>60</v>
      </c>
      <c r="C117" s="6" t="s">
        <v>16</v>
      </c>
      <c r="D117" s="6" t="s">
        <v>26</v>
      </c>
      <c r="E117" s="6">
        <v>688.83</v>
      </c>
      <c r="F117" s="6">
        <v>15</v>
      </c>
      <c r="G117" s="6">
        <v>0</v>
      </c>
      <c r="H117" s="7">
        <v>45595</v>
      </c>
      <c r="I117" s="1">
        <v>172.21</v>
      </c>
      <c r="J117" s="8">
        <f t="shared" si="9"/>
        <v>8339</v>
      </c>
      <c r="K117" s="9">
        <f t="shared" si="10"/>
        <v>70</v>
      </c>
      <c r="L117" s="10">
        <f t="shared" ca="1" si="11"/>
        <v>46280.699263773146</v>
      </c>
    </row>
    <row r="118" spans="1:12" ht="15.75" customHeight="1" x14ac:dyDescent="0.3">
      <c r="A118" s="6" t="s">
        <v>78</v>
      </c>
      <c r="B118" s="6" t="s">
        <v>34</v>
      </c>
      <c r="C118" s="6" t="s">
        <v>39</v>
      </c>
      <c r="D118" s="6" t="s">
        <v>17</v>
      </c>
      <c r="E118" s="6">
        <v>1249.0999999999999</v>
      </c>
      <c r="F118" s="6">
        <v>4</v>
      </c>
      <c r="G118" s="6">
        <v>0.05</v>
      </c>
      <c r="H118" s="7">
        <v>45597</v>
      </c>
      <c r="I118" s="1">
        <v>474.66</v>
      </c>
      <c r="J118" s="8">
        <f t="shared" si="9"/>
        <v>4162.4400000000005</v>
      </c>
      <c r="K118" s="9">
        <f t="shared" si="10"/>
        <v>178</v>
      </c>
      <c r="L118" s="10">
        <f t="shared" ca="1" si="11"/>
        <v>46280.699263773146</v>
      </c>
    </row>
    <row r="119" spans="1:12" ht="15.75" customHeight="1" x14ac:dyDescent="0.3">
      <c r="A119" s="6" t="s">
        <v>49</v>
      </c>
      <c r="B119" s="6" t="s">
        <v>28</v>
      </c>
      <c r="C119" s="6" t="s">
        <v>23</v>
      </c>
      <c r="D119" s="6" t="s">
        <v>44</v>
      </c>
      <c r="E119" s="6">
        <v>1014.22</v>
      </c>
      <c r="F119" s="6">
        <v>14</v>
      </c>
      <c r="G119" s="6">
        <v>0.05</v>
      </c>
      <c r="H119" s="7">
        <v>45599</v>
      </c>
      <c r="I119" s="1">
        <v>433.58</v>
      </c>
      <c r="J119" s="8">
        <f t="shared" si="9"/>
        <v>9760.7999999999993</v>
      </c>
      <c r="K119" s="9">
        <f t="shared" si="10"/>
        <v>34</v>
      </c>
      <c r="L119" s="10">
        <f t="shared" ca="1" si="11"/>
        <v>46280.699263773146</v>
      </c>
    </row>
    <row r="120" spans="1:12" ht="15.75" customHeight="1" x14ac:dyDescent="0.3">
      <c r="A120" s="6" t="s">
        <v>59</v>
      </c>
      <c r="B120" s="6" t="s">
        <v>53</v>
      </c>
      <c r="C120" s="6" t="s">
        <v>23</v>
      </c>
      <c r="D120" s="6" t="s">
        <v>17</v>
      </c>
      <c r="E120" s="6">
        <v>1010.58</v>
      </c>
      <c r="F120" s="6">
        <v>2</v>
      </c>
      <c r="G120" s="6">
        <v>0.15</v>
      </c>
      <c r="H120" s="7">
        <v>45605</v>
      </c>
      <c r="I120" s="1">
        <v>343.6</v>
      </c>
      <c r="J120" s="8">
        <f t="shared" si="9"/>
        <v>6716.52</v>
      </c>
      <c r="K120" s="9">
        <f t="shared" si="10"/>
        <v>108</v>
      </c>
      <c r="L120" s="10">
        <f t="shared" ca="1" si="11"/>
        <v>46280.699263773146</v>
      </c>
    </row>
    <row r="121" spans="1:12" ht="15.75" customHeight="1" x14ac:dyDescent="0.3">
      <c r="A121" s="6" t="s">
        <v>35</v>
      </c>
      <c r="B121" s="6" t="s">
        <v>64</v>
      </c>
      <c r="C121" s="6" t="s">
        <v>29</v>
      </c>
      <c r="D121" s="6" t="s">
        <v>32</v>
      </c>
      <c r="E121" s="6">
        <v>957.29</v>
      </c>
      <c r="F121" s="6">
        <v>4</v>
      </c>
      <c r="G121" s="6">
        <v>0.05</v>
      </c>
      <c r="H121" s="7">
        <v>45605</v>
      </c>
      <c r="I121" s="1">
        <v>318.3</v>
      </c>
      <c r="J121" s="8">
        <f t="shared" si="9"/>
        <v>9371.81</v>
      </c>
      <c r="K121" s="9">
        <f t="shared" si="10"/>
        <v>44</v>
      </c>
      <c r="L121" s="10">
        <f t="shared" ca="1" si="11"/>
        <v>46280.699263773146</v>
      </c>
    </row>
    <row r="122" spans="1:12" ht="15.75" customHeight="1" x14ac:dyDescent="0.3">
      <c r="A122" s="6" t="s">
        <v>33</v>
      </c>
      <c r="B122" s="6" t="s">
        <v>50</v>
      </c>
      <c r="C122" s="6" t="s">
        <v>29</v>
      </c>
      <c r="D122" s="6" t="s">
        <v>32</v>
      </c>
      <c r="E122" s="6">
        <v>1077.92</v>
      </c>
      <c r="F122" s="6">
        <v>3</v>
      </c>
      <c r="G122" s="6">
        <v>0.05</v>
      </c>
      <c r="H122" s="7">
        <v>45608</v>
      </c>
      <c r="I122" s="1">
        <v>358.41</v>
      </c>
      <c r="J122" s="8">
        <f t="shared" si="9"/>
        <v>6549.55</v>
      </c>
      <c r="K122" s="9">
        <f t="shared" si="10"/>
        <v>120</v>
      </c>
      <c r="L122" s="10">
        <f t="shared" ca="1" si="11"/>
        <v>46280.699263773146</v>
      </c>
    </row>
    <row r="123" spans="1:12" ht="15.75" customHeight="1" x14ac:dyDescent="0.3">
      <c r="A123" s="6" t="s">
        <v>57</v>
      </c>
      <c r="B123" s="6" t="s">
        <v>55</v>
      </c>
      <c r="C123" s="6" t="s">
        <v>25</v>
      </c>
      <c r="D123" s="6" t="s">
        <v>20</v>
      </c>
      <c r="E123" s="6">
        <v>1163.01</v>
      </c>
      <c r="F123" s="6">
        <v>5</v>
      </c>
      <c r="G123" s="6">
        <v>0</v>
      </c>
      <c r="H123" s="7">
        <v>45611</v>
      </c>
      <c r="I123" s="1">
        <v>581.5</v>
      </c>
      <c r="J123" s="8">
        <f t="shared" si="9"/>
        <v>10293.870000000001</v>
      </c>
      <c r="K123" s="9">
        <f t="shared" si="10"/>
        <v>12</v>
      </c>
      <c r="L123" s="10">
        <f t="shared" ca="1" si="11"/>
        <v>46280.699263773146</v>
      </c>
    </row>
    <row r="124" spans="1:12" ht="15.75" customHeight="1" x14ac:dyDescent="0.3">
      <c r="A124" s="6" t="s">
        <v>59</v>
      </c>
      <c r="B124" s="6" t="s">
        <v>50</v>
      </c>
      <c r="C124" s="6" t="s">
        <v>23</v>
      </c>
      <c r="D124" s="6" t="s">
        <v>44</v>
      </c>
      <c r="E124" s="6">
        <v>1014.56</v>
      </c>
      <c r="F124" s="6">
        <v>10</v>
      </c>
      <c r="G124" s="6">
        <v>0.1</v>
      </c>
      <c r="H124" s="7">
        <v>45612</v>
      </c>
      <c r="I124" s="1">
        <v>410.9</v>
      </c>
      <c r="J124" s="8">
        <f t="shared" si="9"/>
        <v>6716.52</v>
      </c>
      <c r="K124" s="9">
        <f t="shared" si="10"/>
        <v>108</v>
      </c>
      <c r="L124" s="10">
        <f t="shared" ca="1" si="11"/>
        <v>46280.699263773146</v>
      </c>
    </row>
    <row r="125" spans="1:12" ht="15.75" customHeight="1" x14ac:dyDescent="0.3">
      <c r="A125" s="6" t="s">
        <v>14</v>
      </c>
      <c r="B125" s="6" t="s">
        <v>22</v>
      </c>
      <c r="C125" s="6" t="s">
        <v>25</v>
      </c>
      <c r="D125" s="6" t="s">
        <v>26</v>
      </c>
      <c r="E125" s="6">
        <v>718.04</v>
      </c>
      <c r="F125" s="6">
        <v>14</v>
      </c>
      <c r="G125" s="6">
        <v>0</v>
      </c>
      <c r="H125" s="7">
        <v>45613</v>
      </c>
      <c r="I125" s="1">
        <v>179.51</v>
      </c>
      <c r="J125" s="8">
        <f t="shared" si="9"/>
        <v>4640.1099999999997</v>
      </c>
      <c r="K125" s="9">
        <f t="shared" si="10"/>
        <v>159</v>
      </c>
      <c r="L125" s="10">
        <f t="shared" ca="1" si="11"/>
        <v>46280.699263773146</v>
      </c>
    </row>
    <row r="126" spans="1:12" ht="15.75" customHeight="1" x14ac:dyDescent="0.3">
      <c r="A126" s="6" t="s">
        <v>77</v>
      </c>
      <c r="B126" s="6" t="s">
        <v>22</v>
      </c>
      <c r="C126" s="6" t="s">
        <v>39</v>
      </c>
      <c r="D126" s="6" t="s">
        <v>20</v>
      </c>
      <c r="E126" s="6">
        <v>1277.8499999999999</v>
      </c>
      <c r="F126" s="6">
        <v>18</v>
      </c>
      <c r="G126" s="6">
        <v>0.2</v>
      </c>
      <c r="H126" s="7">
        <v>45613</v>
      </c>
      <c r="I126" s="1">
        <v>511.14</v>
      </c>
      <c r="J126" s="8">
        <f t="shared" si="9"/>
        <v>7813.59</v>
      </c>
      <c r="K126" s="9">
        <f t="shared" si="10"/>
        <v>88</v>
      </c>
      <c r="L126" s="10">
        <f t="shared" ca="1" si="11"/>
        <v>46280.699263773146</v>
      </c>
    </row>
    <row r="127" spans="1:12" ht="15.75" customHeight="1" x14ac:dyDescent="0.3">
      <c r="A127" s="6" t="s">
        <v>75</v>
      </c>
      <c r="B127" s="6" t="s">
        <v>28</v>
      </c>
      <c r="C127" s="6" t="s">
        <v>29</v>
      </c>
      <c r="D127" s="6" t="s">
        <v>26</v>
      </c>
      <c r="E127" s="6">
        <v>706.73</v>
      </c>
      <c r="F127" s="6">
        <v>1</v>
      </c>
      <c r="G127" s="6">
        <v>0.15</v>
      </c>
      <c r="H127" s="7">
        <v>45613</v>
      </c>
      <c r="I127" s="1">
        <v>150.18</v>
      </c>
      <c r="J127" s="8">
        <f t="shared" si="9"/>
        <v>7583.1299999999992</v>
      </c>
      <c r="K127" s="9">
        <f t="shared" si="10"/>
        <v>95</v>
      </c>
      <c r="L127" s="10">
        <f t="shared" ca="1" si="11"/>
        <v>46280.699263773146</v>
      </c>
    </row>
    <row r="128" spans="1:12" ht="15.75" customHeight="1" x14ac:dyDescent="0.3">
      <c r="A128" s="6" t="s">
        <v>70</v>
      </c>
      <c r="B128" s="6" t="s">
        <v>55</v>
      </c>
      <c r="C128" s="6" t="s">
        <v>23</v>
      </c>
      <c r="D128" s="6" t="s">
        <v>26</v>
      </c>
      <c r="E128" s="6">
        <v>1410.59</v>
      </c>
      <c r="F128" s="6">
        <v>15</v>
      </c>
      <c r="G128" s="6">
        <v>0</v>
      </c>
      <c r="H128" s="7">
        <v>45615</v>
      </c>
      <c r="I128" s="1">
        <v>352.65</v>
      </c>
      <c r="J128" s="8">
        <f t="shared" si="9"/>
        <v>6481.43</v>
      </c>
      <c r="K128" s="9">
        <f t="shared" si="10"/>
        <v>134</v>
      </c>
      <c r="L128" s="10">
        <f t="shared" ca="1" si="11"/>
        <v>46280.699263773146</v>
      </c>
    </row>
    <row r="129" spans="1:12" ht="15.75" customHeight="1" x14ac:dyDescent="0.3">
      <c r="A129" s="6" t="s">
        <v>37</v>
      </c>
      <c r="B129" s="6" t="s">
        <v>66</v>
      </c>
      <c r="C129" s="6" t="s">
        <v>25</v>
      </c>
      <c r="D129" s="6" t="s">
        <v>32</v>
      </c>
      <c r="E129" s="6">
        <v>1350.33</v>
      </c>
      <c r="F129" s="6">
        <v>10</v>
      </c>
      <c r="G129" s="6">
        <v>0</v>
      </c>
      <c r="H129" s="7">
        <v>45615</v>
      </c>
      <c r="I129" s="1">
        <v>472.62</v>
      </c>
      <c r="J129" s="8">
        <f t="shared" si="9"/>
        <v>6505.2</v>
      </c>
      <c r="K129" s="9">
        <f t="shared" si="10"/>
        <v>127</v>
      </c>
      <c r="L129" s="10">
        <f t="shared" ca="1" si="11"/>
        <v>46280.699263773146</v>
      </c>
    </row>
    <row r="130" spans="1:12" ht="15.75" customHeight="1" x14ac:dyDescent="0.3">
      <c r="A130" s="6" t="s">
        <v>46</v>
      </c>
      <c r="B130" s="6" t="s">
        <v>50</v>
      </c>
      <c r="C130" s="6" t="s">
        <v>23</v>
      </c>
      <c r="D130" s="6" t="s">
        <v>26</v>
      </c>
      <c r="E130" s="6">
        <v>919.18</v>
      </c>
      <c r="F130" s="6">
        <v>4</v>
      </c>
      <c r="G130" s="6">
        <v>0.15</v>
      </c>
      <c r="H130" s="7">
        <v>45615</v>
      </c>
      <c r="I130" s="1">
        <v>195.33</v>
      </c>
      <c r="J130" s="8">
        <f t="shared" ref="J130:J161" si="12">SUMIF($A$2:$A$201,A130,$E$2:$E$201)</f>
        <v>5779.05</v>
      </c>
      <c r="K130" s="9">
        <f t="shared" ref="K130:K161" si="13">RANK(J130,$J$2:$J$201)</f>
        <v>147</v>
      </c>
      <c r="L130" s="10">
        <f t="shared" ref="L130:L161" ca="1" si="14">NOW()</f>
        <v>46280.699263773146</v>
      </c>
    </row>
    <row r="131" spans="1:12" ht="15.75" customHeight="1" x14ac:dyDescent="0.3">
      <c r="A131" s="6" t="s">
        <v>79</v>
      </c>
      <c r="B131" s="6" t="s">
        <v>28</v>
      </c>
      <c r="C131" s="6" t="s">
        <v>16</v>
      </c>
      <c r="D131" s="6" t="s">
        <v>26</v>
      </c>
      <c r="E131" s="6">
        <v>258.51</v>
      </c>
      <c r="F131" s="6">
        <v>19</v>
      </c>
      <c r="G131" s="6">
        <v>0</v>
      </c>
      <c r="H131" s="7">
        <v>45616</v>
      </c>
      <c r="I131" s="1">
        <v>64.63</v>
      </c>
      <c r="J131" s="8">
        <f t="shared" si="12"/>
        <v>3906.04</v>
      </c>
      <c r="K131" s="9">
        <f t="shared" si="13"/>
        <v>182</v>
      </c>
      <c r="L131" s="10">
        <f t="shared" ca="1" si="14"/>
        <v>46280.699263773146</v>
      </c>
    </row>
    <row r="132" spans="1:12" ht="15.75" customHeight="1" x14ac:dyDescent="0.3">
      <c r="A132" s="6" t="s">
        <v>68</v>
      </c>
      <c r="B132" s="6" t="s">
        <v>66</v>
      </c>
      <c r="C132" s="6" t="s">
        <v>23</v>
      </c>
      <c r="D132" s="6" t="s">
        <v>17</v>
      </c>
      <c r="E132" s="6">
        <v>1213.48</v>
      </c>
      <c r="F132" s="6">
        <v>5</v>
      </c>
      <c r="G132" s="6">
        <v>0.05</v>
      </c>
      <c r="H132" s="7">
        <v>45616</v>
      </c>
      <c r="I132" s="1">
        <v>461.12</v>
      </c>
      <c r="J132" s="8">
        <f t="shared" si="12"/>
        <v>3762.2900000000004</v>
      </c>
      <c r="K132" s="9">
        <f t="shared" si="13"/>
        <v>187</v>
      </c>
      <c r="L132" s="10">
        <f t="shared" ca="1" si="14"/>
        <v>46280.699263773146</v>
      </c>
    </row>
    <row r="133" spans="1:12" ht="15.75" customHeight="1" x14ac:dyDescent="0.3">
      <c r="A133" s="6" t="s">
        <v>62</v>
      </c>
      <c r="B133" s="6" t="s">
        <v>43</v>
      </c>
      <c r="C133" s="6" t="s">
        <v>39</v>
      </c>
      <c r="D133" s="6" t="s">
        <v>17</v>
      </c>
      <c r="E133" s="6">
        <v>1150.28</v>
      </c>
      <c r="F133" s="6">
        <v>8</v>
      </c>
      <c r="G133" s="6">
        <v>0.05</v>
      </c>
      <c r="H133" s="7">
        <v>45622</v>
      </c>
      <c r="I133" s="1">
        <v>437.11</v>
      </c>
      <c r="J133" s="8">
        <f t="shared" si="12"/>
        <v>8740.18</v>
      </c>
      <c r="K133" s="9">
        <f t="shared" si="13"/>
        <v>53</v>
      </c>
      <c r="L133" s="10">
        <f t="shared" ca="1" si="14"/>
        <v>46280.699263773146</v>
      </c>
    </row>
    <row r="134" spans="1:12" ht="15.75" customHeight="1" x14ac:dyDescent="0.3">
      <c r="A134" s="6" t="s">
        <v>42</v>
      </c>
      <c r="B134" s="6" t="s">
        <v>76</v>
      </c>
      <c r="C134" s="6" t="s">
        <v>25</v>
      </c>
      <c r="D134" s="6" t="s">
        <v>32</v>
      </c>
      <c r="E134" s="6">
        <v>853.86</v>
      </c>
      <c r="F134" s="6">
        <v>8</v>
      </c>
      <c r="G134" s="6">
        <v>0.1</v>
      </c>
      <c r="H134" s="7">
        <v>45622</v>
      </c>
      <c r="I134" s="1">
        <v>268.97000000000003</v>
      </c>
      <c r="J134" s="8">
        <f t="shared" si="12"/>
        <v>6729.8899999999994</v>
      </c>
      <c r="K134" s="9">
        <f t="shared" si="13"/>
        <v>102</v>
      </c>
      <c r="L134" s="10">
        <f t="shared" ca="1" si="14"/>
        <v>46280.699263773146</v>
      </c>
    </row>
    <row r="135" spans="1:12" ht="15.75" customHeight="1" x14ac:dyDescent="0.3">
      <c r="A135" s="6" t="s">
        <v>80</v>
      </c>
      <c r="B135" s="6" t="s">
        <v>50</v>
      </c>
      <c r="C135" s="6" t="s">
        <v>25</v>
      </c>
      <c r="D135" s="6" t="s">
        <v>26</v>
      </c>
      <c r="E135" s="6">
        <v>1061.04</v>
      </c>
      <c r="F135" s="6">
        <v>1</v>
      </c>
      <c r="G135" s="6">
        <v>0</v>
      </c>
      <c r="H135" s="7">
        <v>45624</v>
      </c>
      <c r="I135" s="1">
        <v>265.26</v>
      </c>
      <c r="J135" s="8">
        <f t="shared" si="12"/>
        <v>4951.8899999999994</v>
      </c>
      <c r="K135" s="9">
        <f t="shared" si="13"/>
        <v>154</v>
      </c>
      <c r="L135" s="10">
        <f t="shared" ca="1" si="14"/>
        <v>46280.699263773146</v>
      </c>
    </row>
    <row r="136" spans="1:12" ht="15.75" customHeight="1" x14ac:dyDescent="0.3">
      <c r="A136" s="6" t="s">
        <v>33</v>
      </c>
      <c r="B136" s="6" t="s">
        <v>48</v>
      </c>
      <c r="C136" s="6" t="s">
        <v>16</v>
      </c>
      <c r="D136" s="6" t="s">
        <v>26</v>
      </c>
      <c r="E136" s="6">
        <v>894.55</v>
      </c>
      <c r="F136" s="6">
        <v>19</v>
      </c>
      <c r="G136" s="6">
        <v>0.2</v>
      </c>
      <c r="H136" s="7">
        <v>45625</v>
      </c>
      <c r="I136" s="1">
        <v>178.91</v>
      </c>
      <c r="J136" s="8">
        <f t="shared" si="12"/>
        <v>6549.55</v>
      </c>
      <c r="K136" s="9">
        <f t="shared" si="13"/>
        <v>120</v>
      </c>
      <c r="L136" s="10">
        <f t="shared" ca="1" si="14"/>
        <v>46280.699263773146</v>
      </c>
    </row>
    <row r="137" spans="1:12" ht="15.75" customHeight="1" x14ac:dyDescent="0.3">
      <c r="A137" s="6" t="s">
        <v>30</v>
      </c>
      <c r="B137" s="6" t="s">
        <v>43</v>
      </c>
      <c r="C137" s="6" t="s">
        <v>29</v>
      </c>
      <c r="D137" s="6" t="s">
        <v>44</v>
      </c>
      <c r="E137" s="6">
        <v>833.91</v>
      </c>
      <c r="F137" s="6">
        <v>3</v>
      </c>
      <c r="G137" s="6">
        <v>0.05</v>
      </c>
      <c r="H137" s="7">
        <v>45626</v>
      </c>
      <c r="I137" s="1">
        <v>356.5</v>
      </c>
      <c r="J137" s="8">
        <f t="shared" si="12"/>
        <v>9941.8799999999992</v>
      </c>
      <c r="K137" s="9">
        <f t="shared" si="13"/>
        <v>24</v>
      </c>
      <c r="L137" s="10">
        <f t="shared" ca="1" si="14"/>
        <v>46280.699263773146</v>
      </c>
    </row>
    <row r="138" spans="1:12" ht="15.75" customHeight="1" x14ac:dyDescent="0.3">
      <c r="A138" s="6" t="s">
        <v>63</v>
      </c>
      <c r="B138" s="6" t="s">
        <v>76</v>
      </c>
      <c r="C138" s="6" t="s">
        <v>16</v>
      </c>
      <c r="D138" s="6" t="s">
        <v>32</v>
      </c>
      <c r="E138" s="6">
        <v>820.19</v>
      </c>
      <c r="F138" s="6">
        <v>4</v>
      </c>
      <c r="G138" s="6">
        <v>0.2</v>
      </c>
      <c r="H138" s="7">
        <v>45630</v>
      </c>
      <c r="I138" s="1">
        <v>229.65</v>
      </c>
      <c r="J138" s="8">
        <f t="shared" si="12"/>
        <v>11611.060000000001</v>
      </c>
      <c r="K138" s="9">
        <f t="shared" si="13"/>
        <v>1</v>
      </c>
      <c r="L138" s="10">
        <f t="shared" ca="1" si="14"/>
        <v>46280.699263773146</v>
      </c>
    </row>
    <row r="139" spans="1:12" ht="15.75" customHeight="1" x14ac:dyDescent="0.3">
      <c r="A139" s="6" t="s">
        <v>63</v>
      </c>
      <c r="B139" s="6" t="s">
        <v>43</v>
      </c>
      <c r="C139" s="6" t="s">
        <v>39</v>
      </c>
      <c r="D139" s="6" t="s">
        <v>26</v>
      </c>
      <c r="E139" s="6">
        <v>511.74</v>
      </c>
      <c r="F139" s="6">
        <v>8</v>
      </c>
      <c r="G139" s="6">
        <v>0.05</v>
      </c>
      <c r="H139" s="7">
        <v>45631</v>
      </c>
      <c r="I139" s="1">
        <v>121.54</v>
      </c>
      <c r="J139" s="8">
        <f t="shared" si="12"/>
        <v>11611.060000000001</v>
      </c>
      <c r="K139" s="9">
        <f t="shared" si="13"/>
        <v>1</v>
      </c>
      <c r="L139" s="10">
        <f t="shared" ca="1" si="14"/>
        <v>46280.699263773146</v>
      </c>
    </row>
    <row r="140" spans="1:12" ht="15.75" customHeight="1" x14ac:dyDescent="0.3">
      <c r="A140" s="6" t="s">
        <v>70</v>
      </c>
      <c r="B140" s="6" t="s">
        <v>66</v>
      </c>
      <c r="C140" s="6" t="s">
        <v>25</v>
      </c>
      <c r="D140" s="6" t="s">
        <v>32</v>
      </c>
      <c r="E140" s="6">
        <v>806.03</v>
      </c>
      <c r="F140" s="6">
        <v>19</v>
      </c>
      <c r="G140" s="6">
        <v>0.05</v>
      </c>
      <c r="H140" s="7">
        <v>45638</v>
      </c>
      <c r="I140" s="1">
        <v>268</v>
      </c>
      <c r="J140" s="8">
        <f t="shared" si="12"/>
        <v>6481.43</v>
      </c>
      <c r="K140" s="9">
        <f t="shared" si="13"/>
        <v>134</v>
      </c>
      <c r="L140" s="10">
        <f t="shared" ca="1" si="14"/>
        <v>46280.699263773146</v>
      </c>
    </row>
    <row r="141" spans="1:12" ht="15.75" customHeight="1" x14ac:dyDescent="0.3">
      <c r="A141" s="6" t="s">
        <v>33</v>
      </c>
      <c r="B141" s="6" t="s">
        <v>31</v>
      </c>
      <c r="C141" s="6" t="s">
        <v>39</v>
      </c>
      <c r="D141" s="6" t="s">
        <v>32</v>
      </c>
      <c r="E141" s="6">
        <v>1432.47</v>
      </c>
      <c r="F141" s="6">
        <v>16</v>
      </c>
      <c r="G141" s="6">
        <v>0.15</v>
      </c>
      <c r="H141" s="7">
        <v>45640</v>
      </c>
      <c r="I141" s="1">
        <v>426.16</v>
      </c>
      <c r="J141" s="8">
        <f t="shared" si="12"/>
        <v>6549.55</v>
      </c>
      <c r="K141" s="9">
        <f t="shared" si="13"/>
        <v>120</v>
      </c>
      <c r="L141" s="10">
        <f t="shared" ca="1" si="14"/>
        <v>46280.699263773146</v>
      </c>
    </row>
    <row r="142" spans="1:12" ht="15.75" customHeight="1" x14ac:dyDescent="0.3">
      <c r="A142" s="6" t="s">
        <v>79</v>
      </c>
      <c r="B142" s="6" t="s">
        <v>34</v>
      </c>
      <c r="C142" s="6" t="s">
        <v>39</v>
      </c>
      <c r="D142" s="6" t="s">
        <v>26</v>
      </c>
      <c r="E142" s="6">
        <v>1488.58</v>
      </c>
      <c r="F142" s="6">
        <v>10</v>
      </c>
      <c r="G142" s="6">
        <v>0.15</v>
      </c>
      <c r="H142" s="7">
        <v>45640</v>
      </c>
      <c r="I142" s="1">
        <v>316.32</v>
      </c>
      <c r="J142" s="8">
        <f t="shared" si="12"/>
        <v>3906.04</v>
      </c>
      <c r="K142" s="9">
        <f t="shared" si="13"/>
        <v>182</v>
      </c>
      <c r="L142" s="10">
        <f t="shared" ca="1" si="14"/>
        <v>46280.699263773146</v>
      </c>
    </row>
    <row r="143" spans="1:12" ht="15.75" customHeight="1" x14ac:dyDescent="0.3">
      <c r="A143" s="6" t="s">
        <v>35</v>
      </c>
      <c r="B143" s="6" t="s">
        <v>71</v>
      </c>
      <c r="C143" s="6" t="s">
        <v>23</v>
      </c>
      <c r="D143" s="6" t="s">
        <v>17</v>
      </c>
      <c r="E143" s="6">
        <v>1231.26</v>
      </c>
      <c r="F143" s="6">
        <v>9</v>
      </c>
      <c r="G143" s="6">
        <v>0</v>
      </c>
      <c r="H143" s="7">
        <v>45646</v>
      </c>
      <c r="I143" s="1">
        <v>492.5</v>
      </c>
      <c r="J143" s="8">
        <f t="shared" si="12"/>
        <v>9371.81</v>
      </c>
      <c r="K143" s="9">
        <f t="shared" si="13"/>
        <v>44</v>
      </c>
      <c r="L143" s="10">
        <f t="shared" ca="1" si="14"/>
        <v>46280.699263773146</v>
      </c>
    </row>
    <row r="144" spans="1:12" ht="15.75" customHeight="1" x14ac:dyDescent="0.3">
      <c r="A144" s="6" t="s">
        <v>35</v>
      </c>
      <c r="B144" s="6" t="s">
        <v>48</v>
      </c>
      <c r="C144" s="6" t="s">
        <v>16</v>
      </c>
      <c r="D144" s="6" t="s">
        <v>26</v>
      </c>
      <c r="E144" s="6">
        <v>1161.67</v>
      </c>
      <c r="F144" s="6">
        <v>19</v>
      </c>
      <c r="G144" s="6">
        <v>0.2</v>
      </c>
      <c r="H144" s="7">
        <v>45647</v>
      </c>
      <c r="I144" s="1">
        <v>232.33</v>
      </c>
      <c r="J144" s="8">
        <f t="shared" si="12"/>
        <v>9371.81</v>
      </c>
      <c r="K144" s="9">
        <f t="shared" si="13"/>
        <v>44</v>
      </c>
      <c r="L144" s="10">
        <f t="shared" ca="1" si="14"/>
        <v>46280.699263773146</v>
      </c>
    </row>
    <row r="145" spans="1:12" ht="15.75" customHeight="1" x14ac:dyDescent="0.3">
      <c r="A145" s="6" t="s">
        <v>54</v>
      </c>
      <c r="B145" s="6" t="s">
        <v>50</v>
      </c>
      <c r="C145" s="6" t="s">
        <v>39</v>
      </c>
      <c r="D145" s="6" t="s">
        <v>44</v>
      </c>
      <c r="E145" s="6">
        <v>388.23</v>
      </c>
      <c r="F145" s="6">
        <v>16</v>
      </c>
      <c r="G145" s="6">
        <v>0.05</v>
      </c>
      <c r="H145" s="7">
        <v>45650</v>
      </c>
      <c r="I145" s="1">
        <v>165.97</v>
      </c>
      <c r="J145" s="8">
        <f t="shared" si="12"/>
        <v>4418.2800000000007</v>
      </c>
      <c r="K145" s="9">
        <f t="shared" si="13"/>
        <v>164</v>
      </c>
      <c r="L145" s="10">
        <f t="shared" ca="1" si="14"/>
        <v>46280.699263773146</v>
      </c>
    </row>
    <row r="146" spans="1:12" ht="15.75" customHeight="1" x14ac:dyDescent="0.3">
      <c r="A146" s="6" t="s">
        <v>77</v>
      </c>
      <c r="B146" s="6" t="s">
        <v>36</v>
      </c>
      <c r="C146" s="6" t="s">
        <v>29</v>
      </c>
      <c r="D146" s="6" t="s">
        <v>20</v>
      </c>
      <c r="E146" s="6">
        <v>1589.42</v>
      </c>
      <c r="F146" s="6">
        <v>6</v>
      </c>
      <c r="G146" s="6">
        <v>0.15</v>
      </c>
      <c r="H146" s="7">
        <v>45651</v>
      </c>
      <c r="I146" s="1">
        <v>675.5</v>
      </c>
      <c r="J146" s="8">
        <f t="shared" si="12"/>
        <v>7813.59</v>
      </c>
      <c r="K146" s="9">
        <f t="shared" si="13"/>
        <v>88</v>
      </c>
      <c r="L146" s="10">
        <f t="shared" ca="1" si="14"/>
        <v>46280.699263773146</v>
      </c>
    </row>
    <row r="147" spans="1:12" ht="15.75" customHeight="1" x14ac:dyDescent="0.3">
      <c r="A147" s="6" t="s">
        <v>33</v>
      </c>
      <c r="B147" s="6" t="s">
        <v>76</v>
      </c>
      <c r="C147" s="6" t="s">
        <v>29</v>
      </c>
      <c r="D147" s="6" t="s">
        <v>20</v>
      </c>
      <c r="E147" s="6">
        <v>336.66</v>
      </c>
      <c r="F147" s="6">
        <v>13</v>
      </c>
      <c r="G147" s="6">
        <v>0.2</v>
      </c>
      <c r="H147" s="7">
        <v>45651</v>
      </c>
      <c r="I147" s="1">
        <v>134.66</v>
      </c>
      <c r="J147" s="8">
        <f t="shared" si="12"/>
        <v>6549.55</v>
      </c>
      <c r="K147" s="9">
        <f t="shared" si="13"/>
        <v>120</v>
      </c>
      <c r="L147" s="10">
        <f t="shared" ca="1" si="14"/>
        <v>46280.699263773146</v>
      </c>
    </row>
    <row r="148" spans="1:12" ht="15.75" customHeight="1" x14ac:dyDescent="0.3">
      <c r="A148" s="6" t="s">
        <v>54</v>
      </c>
      <c r="B148" s="6" t="s">
        <v>28</v>
      </c>
      <c r="C148" s="6" t="s">
        <v>16</v>
      </c>
      <c r="D148" s="6" t="s">
        <v>17</v>
      </c>
      <c r="E148" s="6">
        <v>1353.79</v>
      </c>
      <c r="F148" s="6">
        <v>14</v>
      </c>
      <c r="G148" s="6">
        <v>0.1</v>
      </c>
      <c r="H148" s="7">
        <v>45656</v>
      </c>
      <c r="I148" s="1">
        <v>487.36</v>
      </c>
      <c r="J148" s="8">
        <f t="shared" si="12"/>
        <v>4418.2800000000007</v>
      </c>
      <c r="K148" s="9">
        <f t="shared" si="13"/>
        <v>164</v>
      </c>
      <c r="L148" s="10">
        <f t="shared" ca="1" si="14"/>
        <v>46280.699263773146</v>
      </c>
    </row>
    <row r="149" spans="1:12" ht="15.75" customHeight="1" x14ac:dyDescent="0.3">
      <c r="A149" s="6" t="s">
        <v>68</v>
      </c>
      <c r="B149" s="6" t="s">
        <v>74</v>
      </c>
      <c r="C149" s="6" t="s">
        <v>39</v>
      </c>
      <c r="D149" s="6" t="s">
        <v>20</v>
      </c>
      <c r="E149" s="6">
        <v>662.61</v>
      </c>
      <c r="F149" s="6">
        <v>11</v>
      </c>
      <c r="G149" s="6">
        <v>0.05</v>
      </c>
      <c r="H149" s="7">
        <v>45658</v>
      </c>
      <c r="I149" s="1">
        <v>314.74</v>
      </c>
      <c r="J149" s="8">
        <f t="shared" si="12"/>
        <v>3762.2900000000004</v>
      </c>
      <c r="K149" s="9">
        <f t="shared" si="13"/>
        <v>187</v>
      </c>
      <c r="L149" s="10">
        <f t="shared" ca="1" si="14"/>
        <v>46280.699263773146</v>
      </c>
    </row>
    <row r="150" spans="1:12" ht="15.75" customHeight="1" x14ac:dyDescent="0.3">
      <c r="A150" s="6" t="s">
        <v>57</v>
      </c>
      <c r="B150" s="6" t="s">
        <v>53</v>
      </c>
      <c r="C150" s="6" t="s">
        <v>29</v>
      </c>
      <c r="D150" s="6" t="s">
        <v>44</v>
      </c>
      <c r="E150" s="6">
        <v>309.42</v>
      </c>
      <c r="F150" s="6">
        <v>1</v>
      </c>
      <c r="G150" s="6">
        <v>0.2</v>
      </c>
      <c r="H150" s="7">
        <v>45658</v>
      </c>
      <c r="I150" s="1">
        <v>111.39</v>
      </c>
      <c r="J150" s="8">
        <f t="shared" si="12"/>
        <v>10293.870000000001</v>
      </c>
      <c r="K150" s="9">
        <f t="shared" si="13"/>
        <v>12</v>
      </c>
      <c r="L150" s="10">
        <f t="shared" ca="1" si="14"/>
        <v>46280.699263773146</v>
      </c>
    </row>
    <row r="151" spans="1:12" ht="15.75" customHeight="1" x14ac:dyDescent="0.3">
      <c r="A151" s="6" t="s">
        <v>68</v>
      </c>
      <c r="B151" s="6" t="s">
        <v>34</v>
      </c>
      <c r="C151" s="6" t="s">
        <v>29</v>
      </c>
      <c r="D151" s="6" t="s">
        <v>17</v>
      </c>
      <c r="E151" s="6">
        <v>884.63</v>
      </c>
      <c r="F151" s="6">
        <v>18</v>
      </c>
      <c r="G151" s="6">
        <v>0.1</v>
      </c>
      <c r="H151" s="7">
        <v>45659</v>
      </c>
      <c r="I151" s="1">
        <v>318.47000000000003</v>
      </c>
      <c r="J151" s="8">
        <f t="shared" si="12"/>
        <v>3762.2900000000004</v>
      </c>
      <c r="K151" s="9">
        <f t="shared" si="13"/>
        <v>187</v>
      </c>
      <c r="L151" s="10">
        <f t="shared" ca="1" si="14"/>
        <v>46280.699263773146</v>
      </c>
    </row>
    <row r="152" spans="1:12" ht="15.75" customHeight="1" x14ac:dyDescent="0.3">
      <c r="A152" s="6" t="s">
        <v>57</v>
      </c>
      <c r="B152" s="6" t="s">
        <v>28</v>
      </c>
      <c r="C152" s="6" t="s">
        <v>39</v>
      </c>
      <c r="D152" s="6" t="s">
        <v>44</v>
      </c>
      <c r="E152" s="6">
        <v>745.05</v>
      </c>
      <c r="F152" s="6">
        <v>10</v>
      </c>
      <c r="G152" s="6">
        <v>0.1</v>
      </c>
      <c r="H152" s="7">
        <v>45660</v>
      </c>
      <c r="I152" s="1">
        <v>301.75</v>
      </c>
      <c r="J152" s="8">
        <f t="shared" si="12"/>
        <v>10293.870000000001</v>
      </c>
      <c r="K152" s="9">
        <f t="shared" si="13"/>
        <v>12</v>
      </c>
      <c r="L152" s="10">
        <f t="shared" ca="1" si="14"/>
        <v>46280.699263773146</v>
      </c>
    </row>
    <row r="153" spans="1:12" ht="15.75" customHeight="1" x14ac:dyDescent="0.3">
      <c r="A153" s="6" t="s">
        <v>65</v>
      </c>
      <c r="B153" s="6" t="s">
        <v>22</v>
      </c>
      <c r="C153" s="6" t="s">
        <v>25</v>
      </c>
      <c r="D153" s="6" t="s">
        <v>20</v>
      </c>
      <c r="E153" s="6">
        <v>870.23</v>
      </c>
      <c r="F153" s="6">
        <v>5</v>
      </c>
      <c r="G153" s="6">
        <v>0.05</v>
      </c>
      <c r="H153" s="7">
        <v>45660</v>
      </c>
      <c r="I153" s="1">
        <v>413.36</v>
      </c>
      <c r="J153" s="8">
        <f t="shared" si="12"/>
        <v>3369.17</v>
      </c>
      <c r="K153" s="9">
        <f t="shared" si="13"/>
        <v>195</v>
      </c>
      <c r="L153" s="10">
        <f t="shared" ca="1" si="14"/>
        <v>46280.699263773146</v>
      </c>
    </row>
    <row r="154" spans="1:12" ht="15.75" customHeight="1" x14ac:dyDescent="0.3">
      <c r="A154" s="6" t="s">
        <v>40</v>
      </c>
      <c r="B154" s="6" t="s">
        <v>34</v>
      </c>
      <c r="C154" s="6" t="s">
        <v>16</v>
      </c>
      <c r="D154" s="6" t="s">
        <v>32</v>
      </c>
      <c r="E154" s="6">
        <v>862.19</v>
      </c>
      <c r="F154" s="6">
        <v>18</v>
      </c>
      <c r="G154" s="6">
        <v>0.05</v>
      </c>
      <c r="H154" s="7">
        <v>45663</v>
      </c>
      <c r="I154" s="1">
        <v>286.68</v>
      </c>
      <c r="J154" s="8">
        <f t="shared" si="12"/>
        <v>4259.22</v>
      </c>
      <c r="K154" s="9">
        <f t="shared" si="13"/>
        <v>173</v>
      </c>
      <c r="L154" s="10">
        <f t="shared" ca="1" si="14"/>
        <v>46280.699263773146</v>
      </c>
    </row>
    <row r="155" spans="1:12" ht="15.75" customHeight="1" x14ac:dyDescent="0.3">
      <c r="A155" s="6" t="s">
        <v>78</v>
      </c>
      <c r="B155" s="6" t="s">
        <v>64</v>
      </c>
      <c r="C155" s="6" t="s">
        <v>29</v>
      </c>
      <c r="D155" s="6" t="s">
        <v>20</v>
      </c>
      <c r="E155" s="6">
        <v>1171.18</v>
      </c>
      <c r="F155" s="6">
        <v>19</v>
      </c>
      <c r="G155" s="6">
        <v>0.05</v>
      </c>
      <c r="H155" s="7">
        <v>45667</v>
      </c>
      <c r="I155" s="1">
        <v>556.30999999999995</v>
      </c>
      <c r="J155" s="8">
        <f t="shared" si="12"/>
        <v>4162.4400000000005</v>
      </c>
      <c r="K155" s="9">
        <f t="shared" si="13"/>
        <v>178</v>
      </c>
      <c r="L155" s="10">
        <f t="shared" ca="1" si="14"/>
        <v>46280.699263773146</v>
      </c>
    </row>
    <row r="156" spans="1:12" ht="15.75" customHeight="1" x14ac:dyDescent="0.3">
      <c r="A156" s="6" t="s">
        <v>63</v>
      </c>
      <c r="B156" s="6" t="s">
        <v>19</v>
      </c>
      <c r="C156" s="6" t="s">
        <v>25</v>
      </c>
      <c r="D156" s="6" t="s">
        <v>32</v>
      </c>
      <c r="E156" s="6">
        <v>1054.56</v>
      </c>
      <c r="F156" s="6">
        <v>11</v>
      </c>
      <c r="G156" s="6">
        <v>0.1</v>
      </c>
      <c r="H156" s="7">
        <v>45669</v>
      </c>
      <c r="I156" s="1">
        <v>332.19</v>
      </c>
      <c r="J156" s="8">
        <f t="shared" si="12"/>
        <v>11611.060000000001</v>
      </c>
      <c r="K156" s="9">
        <f t="shared" si="13"/>
        <v>1</v>
      </c>
      <c r="L156" s="10">
        <f t="shared" ca="1" si="14"/>
        <v>46280.699263773146</v>
      </c>
    </row>
    <row r="157" spans="1:12" ht="15.75" customHeight="1" x14ac:dyDescent="0.3">
      <c r="A157" s="6" t="s">
        <v>63</v>
      </c>
      <c r="B157" s="6" t="s">
        <v>28</v>
      </c>
      <c r="C157" s="6" t="s">
        <v>29</v>
      </c>
      <c r="D157" s="6" t="s">
        <v>26</v>
      </c>
      <c r="E157" s="6">
        <v>1681.21</v>
      </c>
      <c r="F157" s="6">
        <v>5</v>
      </c>
      <c r="G157" s="6">
        <v>0.2</v>
      </c>
      <c r="H157" s="7">
        <v>45670</v>
      </c>
      <c r="I157" s="1">
        <v>336.24</v>
      </c>
      <c r="J157" s="8">
        <f t="shared" si="12"/>
        <v>11611.060000000001</v>
      </c>
      <c r="K157" s="9">
        <f t="shared" si="13"/>
        <v>1</v>
      </c>
      <c r="L157" s="10">
        <f t="shared" ca="1" si="14"/>
        <v>46280.699263773146</v>
      </c>
    </row>
    <row r="158" spans="1:12" ht="15.75" customHeight="1" x14ac:dyDescent="0.3">
      <c r="A158" s="6" t="s">
        <v>63</v>
      </c>
      <c r="B158" s="6" t="s">
        <v>41</v>
      </c>
      <c r="C158" s="6" t="s">
        <v>16</v>
      </c>
      <c r="D158" s="6" t="s">
        <v>20</v>
      </c>
      <c r="E158" s="6">
        <v>379.77</v>
      </c>
      <c r="F158" s="6">
        <v>9</v>
      </c>
      <c r="G158" s="6">
        <v>0.05</v>
      </c>
      <c r="H158" s="7">
        <v>45673</v>
      </c>
      <c r="I158" s="1">
        <v>180.39</v>
      </c>
      <c r="J158" s="8">
        <f t="shared" si="12"/>
        <v>11611.060000000001</v>
      </c>
      <c r="K158" s="9">
        <f t="shared" si="13"/>
        <v>1</v>
      </c>
      <c r="L158" s="10">
        <f t="shared" ca="1" si="14"/>
        <v>46280.699263773146</v>
      </c>
    </row>
    <row r="159" spans="1:12" ht="15.75" customHeight="1" x14ac:dyDescent="0.3">
      <c r="A159" s="6" t="s">
        <v>49</v>
      </c>
      <c r="B159" s="6" t="s">
        <v>50</v>
      </c>
      <c r="C159" s="6" t="s">
        <v>39</v>
      </c>
      <c r="D159" s="6" t="s">
        <v>20</v>
      </c>
      <c r="E159" s="6">
        <v>1076.33</v>
      </c>
      <c r="F159" s="6">
        <v>2</v>
      </c>
      <c r="G159" s="6">
        <v>0.1</v>
      </c>
      <c r="H159" s="7">
        <v>45674</v>
      </c>
      <c r="I159" s="1">
        <v>484.35</v>
      </c>
      <c r="J159" s="8">
        <f t="shared" si="12"/>
        <v>9760.7999999999993</v>
      </c>
      <c r="K159" s="9">
        <f t="shared" si="13"/>
        <v>34</v>
      </c>
      <c r="L159" s="10">
        <f t="shared" ca="1" si="14"/>
        <v>46280.699263773146</v>
      </c>
    </row>
    <row r="160" spans="1:12" ht="15.75" customHeight="1" x14ac:dyDescent="0.3">
      <c r="A160" s="6" t="s">
        <v>49</v>
      </c>
      <c r="B160" s="6" t="s">
        <v>36</v>
      </c>
      <c r="C160" s="6" t="s">
        <v>39</v>
      </c>
      <c r="D160" s="6" t="s">
        <v>44</v>
      </c>
      <c r="E160" s="6">
        <v>1250.71</v>
      </c>
      <c r="F160" s="6">
        <v>7</v>
      </c>
      <c r="G160" s="6">
        <v>0</v>
      </c>
      <c r="H160" s="7">
        <v>45674</v>
      </c>
      <c r="I160" s="1">
        <v>562.82000000000005</v>
      </c>
      <c r="J160" s="8">
        <f t="shared" si="12"/>
        <v>9760.7999999999993</v>
      </c>
      <c r="K160" s="9">
        <f t="shared" si="13"/>
        <v>34</v>
      </c>
      <c r="L160" s="10">
        <f t="shared" ca="1" si="14"/>
        <v>46280.699263773146</v>
      </c>
    </row>
    <row r="161" spans="1:12" ht="15.75" customHeight="1" x14ac:dyDescent="0.3">
      <c r="A161" s="6" t="s">
        <v>45</v>
      </c>
      <c r="B161" s="6" t="s">
        <v>22</v>
      </c>
      <c r="C161" s="6" t="s">
        <v>25</v>
      </c>
      <c r="D161" s="6" t="s">
        <v>20</v>
      </c>
      <c r="E161" s="6">
        <v>1118.3399999999999</v>
      </c>
      <c r="F161" s="6">
        <v>6</v>
      </c>
      <c r="G161" s="6">
        <v>0.2</v>
      </c>
      <c r="H161" s="7">
        <v>45674</v>
      </c>
      <c r="I161" s="1">
        <v>447.34</v>
      </c>
      <c r="J161" s="8">
        <f t="shared" si="12"/>
        <v>5913.68</v>
      </c>
      <c r="K161" s="9">
        <f t="shared" si="13"/>
        <v>140</v>
      </c>
      <c r="L161" s="10">
        <f t="shared" ca="1" si="14"/>
        <v>46280.699263773146</v>
      </c>
    </row>
    <row r="162" spans="1:12" ht="15.75" customHeight="1" x14ac:dyDescent="0.3">
      <c r="A162" s="6" t="s">
        <v>75</v>
      </c>
      <c r="B162" s="6" t="s">
        <v>58</v>
      </c>
      <c r="C162" s="6" t="s">
        <v>29</v>
      </c>
      <c r="D162" s="6" t="s">
        <v>20</v>
      </c>
      <c r="E162" s="6">
        <v>1622.62</v>
      </c>
      <c r="F162" s="6">
        <v>12</v>
      </c>
      <c r="G162" s="6">
        <v>0.2</v>
      </c>
      <c r="H162" s="7">
        <v>45677</v>
      </c>
      <c r="I162" s="1">
        <v>649.04999999999995</v>
      </c>
      <c r="J162" s="8">
        <f t="shared" ref="J162:J193" si="15">SUMIF($A$2:$A$201,A162,$E$2:$E$201)</f>
        <v>7583.1299999999992</v>
      </c>
      <c r="K162" s="9">
        <f t="shared" ref="K162:K193" si="16">RANK(J162,$J$2:$J$201)</f>
        <v>95</v>
      </c>
      <c r="L162" s="10">
        <f t="shared" ref="L162:L193" ca="1" si="17">NOW()</f>
        <v>46280.699263773146</v>
      </c>
    </row>
    <row r="163" spans="1:12" ht="15.75" customHeight="1" x14ac:dyDescent="0.3">
      <c r="A163" s="6" t="s">
        <v>80</v>
      </c>
      <c r="B163" s="6" t="s">
        <v>53</v>
      </c>
      <c r="C163" s="6" t="s">
        <v>29</v>
      </c>
      <c r="D163" s="6" t="s">
        <v>17</v>
      </c>
      <c r="E163" s="6">
        <v>640.64</v>
      </c>
      <c r="F163" s="6">
        <v>11</v>
      </c>
      <c r="G163" s="6">
        <v>0.2</v>
      </c>
      <c r="H163" s="7">
        <v>45678</v>
      </c>
      <c r="I163" s="1">
        <v>205</v>
      </c>
      <c r="J163" s="8">
        <f t="shared" si="15"/>
        <v>4951.8899999999994</v>
      </c>
      <c r="K163" s="9">
        <f t="shared" si="16"/>
        <v>154</v>
      </c>
      <c r="L163" s="10">
        <f t="shared" ca="1" si="17"/>
        <v>46280.699263773146</v>
      </c>
    </row>
    <row r="164" spans="1:12" ht="15.75" customHeight="1" x14ac:dyDescent="0.3">
      <c r="A164" s="6" t="s">
        <v>27</v>
      </c>
      <c r="B164" s="6" t="s">
        <v>48</v>
      </c>
      <c r="C164" s="6" t="s">
        <v>16</v>
      </c>
      <c r="D164" s="6" t="s">
        <v>20</v>
      </c>
      <c r="E164" s="6">
        <v>585.16</v>
      </c>
      <c r="F164" s="6">
        <v>17</v>
      </c>
      <c r="G164" s="6">
        <v>0.1</v>
      </c>
      <c r="H164" s="7">
        <v>45684</v>
      </c>
      <c r="I164" s="1">
        <v>263.32</v>
      </c>
      <c r="J164" s="8">
        <f t="shared" si="15"/>
        <v>7928.71</v>
      </c>
      <c r="K164" s="9">
        <f t="shared" si="16"/>
        <v>79</v>
      </c>
      <c r="L164" s="10">
        <f t="shared" ca="1" si="17"/>
        <v>46280.699263773146</v>
      </c>
    </row>
    <row r="165" spans="1:12" ht="15.75" customHeight="1" x14ac:dyDescent="0.3">
      <c r="A165" s="6" t="s">
        <v>27</v>
      </c>
      <c r="B165" s="6" t="s">
        <v>36</v>
      </c>
      <c r="C165" s="6" t="s">
        <v>23</v>
      </c>
      <c r="D165" s="6" t="s">
        <v>20</v>
      </c>
      <c r="E165" s="6">
        <v>1109.98</v>
      </c>
      <c r="F165" s="6">
        <v>5</v>
      </c>
      <c r="G165" s="6">
        <v>0.2</v>
      </c>
      <c r="H165" s="7">
        <v>45690</v>
      </c>
      <c r="I165" s="1">
        <v>443.99</v>
      </c>
      <c r="J165" s="8">
        <f t="shared" si="15"/>
        <v>7928.71</v>
      </c>
      <c r="K165" s="9">
        <f t="shared" si="16"/>
        <v>79</v>
      </c>
      <c r="L165" s="10">
        <f t="shared" ca="1" si="17"/>
        <v>46280.699263773146</v>
      </c>
    </row>
    <row r="166" spans="1:12" ht="15.75" customHeight="1" x14ac:dyDescent="0.3">
      <c r="A166" s="6" t="s">
        <v>63</v>
      </c>
      <c r="B166" s="6" t="s">
        <v>50</v>
      </c>
      <c r="C166" s="6" t="s">
        <v>23</v>
      </c>
      <c r="D166" s="6" t="s">
        <v>17</v>
      </c>
      <c r="E166" s="6">
        <v>1098.08</v>
      </c>
      <c r="F166" s="6">
        <v>9</v>
      </c>
      <c r="G166" s="6">
        <v>0.1</v>
      </c>
      <c r="H166" s="7">
        <v>45692</v>
      </c>
      <c r="I166" s="1">
        <v>395.31</v>
      </c>
      <c r="J166" s="8">
        <f t="shared" si="15"/>
        <v>11611.060000000001</v>
      </c>
      <c r="K166" s="9">
        <f t="shared" si="16"/>
        <v>1</v>
      </c>
      <c r="L166" s="10">
        <f t="shared" ca="1" si="17"/>
        <v>46280.699263773146</v>
      </c>
    </row>
    <row r="167" spans="1:12" ht="15.75" customHeight="1" x14ac:dyDescent="0.3">
      <c r="A167" s="6" t="s">
        <v>70</v>
      </c>
      <c r="B167" s="6" t="s">
        <v>53</v>
      </c>
      <c r="C167" s="6" t="s">
        <v>16</v>
      </c>
      <c r="D167" s="6" t="s">
        <v>44</v>
      </c>
      <c r="E167" s="6">
        <v>827.25</v>
      </c>
      <c r="F167" s="6">
        <v>7</v>
      </c>
      <c r="G167" s="6">
        <v>0.1</v>
      </c>
      <c r="H167" s="7">
        <v>45693</v>
      </c>
      <c r="I167" s="1">
        <v>335.04</v>
      </c>
      <c r="J167" s="8">
        <f t="shared" si="15"/>
        <v>6481.43</v>
      </c>
      <c r="K167" s="9">
        <f t="shared" si="16"/>
        <v>134</v>
      </c>
      <c r="L167" s="10">
        <f t="shared" ca="1" si="17"/>
        <v>46280.699263773146</v>
      </c>
    </row>
    <row r="168" spans="1:12" ht="15.75" customHeight="1" x14ac:dyDescent="0.3">
      <c r="A168" s="6" t="s">
        <v>75</v>
      </c>
      <c r="B168" s="6" t="s">
        <v>34</v>
      </c>
      <c r="C168" s="6" t="s">
        <v>39</v>
      </c>
      <c r="D168" s="6" t="s">
        <v>20</v>
      </c>
      <c r="E168" s="6">
        <v>741.88</v>
      </c>
      <c r="F168" s="6">
        <v>16</v>
      </c>
      <c r="G168" s="6">
        <v>0.1</v>
      </c>
      <c r="H168" s="7">
        <v>45695</v>
      </c>
      <c r="I168" s="1">
        <v>333.85</v>
      </c>
      <c r="J168" s="8">
        <f t="shared" si="15"/>
        <v>7583.1299999999992</v>
      </c>
      <c r="K168" s="9">
        <f t="shared" si="16"/>
        <v>95</v>
      </c>
      <c r="L168" s="10">
        <f t="shared" ca="1" si="17"/>
        <v>46280.699263773146</v>
      </c>
    </row>
    <row r="169" spans="1:12" ht="15.75" customHeight="1" x14ac:dyDescent="0.3">
      <c r="A169" s="6" t="s">
        <v>77</v>
      </c>
      <c r="B169" s="6" t="s">
        <v>15</v>
      </c>
      <c r="C169" s="6" t="s">
        <v>23</v>
      </c>
      <c r="D169" s="6" t="s">
        <v>44</v>
      </c>
      <c r="E169" s="6">
        <v>1311.26</v>
      </c>
      <c r="F169" s="6">
        <v>6</v>
      </c>
      <c r="G169" s="6">
        <v>0.1</v>
      </c>
      <c r="H169" s="7">
        <v>45698</v>
      </c>
      <c r="I169" s="1">
        <v>531.05999999999995</v>
      </c>
      <c r="J169" s="8">
        <f t="shared" si="15"/>
        <v>7813.59</v>
      </c>
      <c r="K169" s="9">
        <f t="shared" si="16"/>
        <v>88</v>
      </c>
      <c r="L169" s="10">
        <f t="shared" ca="1" si="17"/>
        <v>46280.699263773146</v>
      </c>
    </row>
    <row r="170" spans="1:12" ht="15.75" customHeight="1" x14ac:dyDescent="0.3">
      <c r="A170" s="6" t="s">
        <v>77</v>
      </c>
      <c r="B170" s="6" t="s">
        <v>36</v>
      </c>
      <c r="C170" s="6" t="s">
        <v>25</v>
      </c>
      <c r="D170" s="6" t="s">
        <v>44</v>
      </c>
      <c r="E170" s="6">
        <v>573.32000000000005</v>
      </c>
      <c r="F170" s="6">
        <v>19</v>
      </c>
      <c r="G170" s="6">
        <v>0.1</v>
      </c>
      <c r="H170" s="7">
        <v>45703</v>
      </c>
      <c r="I170" s="1">
        <v>232.19</v>
      </c>
      <c r="J170" s="8">
        <f t="shared" si="15"/>
        <v>7813.59</v>
      </c>
      <c r="K170" s="9">
        <f t="shared" si="16"/>
        <v>88</v>
      </c>
      <c r="L170" s="10">
        <f t="shared" ca="1" si="17"/>
        <v>46280.699263773146</v>
      </c>
    </row>
    <row r="171" spans="1:12" ht="15.75" customHeight="1" x14ac:dyDescent="0.3">
      <c r="A171" s="6" t="s">
        <v>57</v>
      </c>
      <c r="B171" s="6" t="s">
        <v>28</v>
      </c>
      <c r="C171" s="6" t="s">
        <v>16</v>
      </c>
      <c r="D171" s="6" t="s">
        <v>26</v>
      </c>
      <c r="E171" s="6">
        <v>1115.22</v>
      </c>
      <c r="F171" s="6">
        <v>14</v>
      </c>
      <c r="G171" s="6">
        <v>0.2</v>
      </c>
      <c r="H171" s="7">
        <v>45705</v>
      </c>
      <c r="I171" s="1">
        <v>223.04</v>
      </c>
      <c r="J171" s="8">
        <f t="shared" si="15"/>
        <v>10293.870000000001</v>
      </c>
      <c r="K171" s="9">
        <f t="shared" si="16"/>
        <v>12</v>
      </c>
      <c r="L171" s="10">
        <f t="shared" ca="1" si="17"/>
        <v>46280.699263773146</v>
      </c>
    </row>
    <row r="172" spans="1:12" ht="15.75" customHeight="1" x14ac:dyDescent="0.3">
      <c r="A172" s="6" t="s">
        <v>18</v>
      </c>
      <c r="B172" s="6" t="s">
        <v>50</v>
      </c>
      <c r="C172" s="6" t="s">
        <v>29</v>
      </c>
      <c r="D172" s="6" t="s">
        <v>20</v>
      </c>
      <c r="E172" s="6">
        <v>845.84</v>
      </c>
      <c r="F172" s="6">
        <v>4</v>
      </c>
      <c r="G172" s="6">
        <v>0</v>
      </c>
      <c r="H172" s="7">
        <v>45707</v>
      </c>
      <c r="I172" s="1">
        <v>422.92</v>
      </c>
      <c r="J172" s="8">
        <f t="shared" si="15"/>
        <v>8339</v>
      </c>
      <c r="K172" s="9">
        <f t="shared" si="16"/>
        <v>70</v>
      </c>
      <c r="L172" s="10">
        <f t="shared" ca="1" si="17"/>
        <v>46280.699263773146</v>
      </c>
    </row>
    <row r="173" spans="1:12" ht="15.75" customHeight="1" x14ac:dyDescent="0.3">
      <c r="A173" s="6" t="s">
        <v>35</v>
      </c>
      <c r="B173" s="6" t="s">
        <v>60</v>
      </c>
      <c r="C173" s="6" t="s">
        <v>16</v>
      </c>
      <c r="D173" s="6" t="s">
        <v>26</v>
      </c>
      <c r="E173" s="6">
        <v>1029.8</v>
      </c>
      <c r="F173" s="6">
        <v>3</v>
      </c>
      <c r="G173" s="6">
        <v>0</v>
      </c>
      <c r="H173" s="7">
        <v>45708</v>
      </c>
      <c r="I173" s="1">
        <v>257.45</v>
      </c>
      <c r="J173" s="8">
        <f t="shared" si="15"/>
        <v>9371.81</v>
      </c>
      <c r="K173" s="9">
        <f t="shared" si="16"/>
        <v>44</v>
      </c>
      <c r="L173" s="10">
        <f t="shared" ca="1" si="17"/>
        <v>46280.699263773146</v>
      </c>
    </row>
    <row r="174" spans="1:12" ht="15.75" customHeight="1" x14ac:dyDescent="0.3">
      <c r="A174" s="6" t="s">
        <v>37</v>
      </c>
      <c r="B174" s="6" t="s">
        <v>36</v>
      </c>
      <c r="C174" s="6" t="s">
        <v>29</v>
      </c>
      <c r="D174" s="6" t="s">
        <v>17</v>
      </c>
      <c r="E174" s="6">
        <v>1189.83</v>
      </c>
      <c r="F174" s="6">
        <v>2</v>
      </c>
      <c r="G174" s="6">
        <v>0.2</v>
      </c>
      <c r="H174" s="7">
        <v>45709</v>
      </c>
      <c r="I174" s="1">
        <v>380.75</v>
      </c>
      <c r="J174" s="8">
        <f t="shared" si="15"/>
        <v>6505.2</v>
      </c>
      <c r="K174" s="9">
        <f t="shared" si="16"/>
        <v>127</v>
      </c>
      <c r="L174" s="10">
        <f t="shared" ca="1" si="17"/>
        <v>46280.699263773146</v>
      </c>
    </row>
    <row r="175" spans="1:12" ht="15.75" customHeight="1" x14ac:dyDescent="0.3">
      <c r="A175" s="6" t="s">
        <v>72</v>
      </c>
      <c r="B175" s="6" t="s">
        <v>48</v>
      </c>
      <c r="C175" s="6" t="s">
        <v>25</v>
      </c>
      <c r="D175" s="6" t="s">
        <v>17</v>
      </c>
      <c r="E175" s="6">
        <v>704.28</v>
      </c>
      <c r="F175" s="6">
        <v>15</v>
      </c>
      <c r="G175" s="6">
        <v>0.2</v>
      </c>
      <c r="H175" s="7">
        <v>45712</v>
      </c>
      <c r="I175" s="1">
        <v>225.37</v>
      </c>
      <c r="J175" s="8">
        <f t="shared" si="15"/>
        <v>8490.18</v>
      </c>
      <c r="K175" s="9">
        <f t="shared" si="16"/>
        <v>61</v>
      </c>
      <c r="L175" s="10">
        <f t="shared" ca="1" si="17"/>
        <v>46280.699263773146</v>
      </c>
    </row>
    <row r="176" spans="1:12" ht="15.75" customHeight="1" x14ac:dyDescent="0.3">
      <c r="A176" s="6" t="s">
        <v>70</v>
      </c>
      <c r="B176" s="6" t="s">
        <v>52</v>
      </c>
      <c r="C176" s="6" t="s">
        <v>39</v>
      </c>
      <c r="D176" s="6" t="s">
        <v>44</v>
      </c>
      <c r="E176" s="6">
        <v>1618.22</v>
      </c>
      <c r="F176" s="6">
        <v>12</v>
      </c>
      <c r="G176" s="6">
        <v>0.2</v>
      </c>
      <c r="H176" s="7">
        <v>45712</v>
      </c>
      <c r="I176" s="1">
        <v>582.55999999999995</v>
      </c>
      <c r="J176" s="8">
        <f t="shared" si="15"/>
        <v>6481.43</v>
      </c>
      <c r="K176" s="9">
        <f t="shared" si="16"/>
        <v>134</v>
      </c>
      <c r="L176" s="10">
        <f t="shared" ca="1" si="17"/>
        <v>46280.699263773146</v>
      </c>
    </row>
    <row r="177" spans="1:12" ht="15.75" customHeight="1" x14ac:dyDescent="0.3">
      <c r="A177" s="6" t="s">
        <v>78</v>
      </c>
      <c r="B177" s="6" t="s">
        <v>58</v>
      </c>
      <c r="C177" s="6" t="s">
        <v>39</v>
      </c>
      <c r="D177" s="6" t="s">
        <v>17</v>
      </c>
      <c r="E177" s="6">
        <v>1014.43</v>
      </c>
      <c r="F177" s="6">
        <v>2</v>
      </c>
      <c r="G177" s="6">
        <v>0.15</v>
      </c>
      <c r="H177" s="7">
        <v>45713</v>
      </c>
      <c r="I177" s="1">
        <v>344.91</v>
      </c>
      <c r="J177" s="8">
        <f t="shared" si="15"/>
        <v>4162.4400000000005</v>
      </c>
      <c r="K177" s="9">
        <f t="shared" si="16"/>
        <v>178</v>
      </c>
      <c r="L177" s="10">
        <f t="shared" ca="1" si="17"/>
        <v>46280.699263773146</v>
      </c>
    </row>
    <row r="178" spans="1:12" ht="15.75" customHeight="1" x14ac:dyDescent="0.3">
      <c r="A178" s="6" t="s">
        <v>80</v>
      </c>
      <c r="B178" s="6" t="s">
        <v>36</v>
      </c>
      <c r="C178" s="6" t="s">
        <v>39</v>
      </c>
      <c r="D178" s="6" t="s">
        <v>20</v>
      </c>
      <c r="E178" s="6">
        <v>826.97</v>
      </c>
      <c r="F178" s="6">
        <v>18</v>
      </c>
      <c r="G178" s="6">
        <v>0.2</v>
      </c>
      <c r="H178" s="7">
        <v>45715</v>
      </c>
      <c r="I178" s="1">
        <v>330.79</v>
      </c>
      <c r="J178" s="8">
        <f t="shared" si="15"/>
        <v>4951.8899999999994</v>
      </c>
      <c r="K178" s="9">
        <f t="shared" si="16"/>
        <v>154</v>
      </c>
      <c r="L178" s="10">
        <f t="shared" ca="1" si="17"/>
        <v>46280.699263773146</v>
      </c>
    </row>
    <row r="179" spans="1:12" ht="15.75" customHeight="1" x14ac:dyDescent="0.3">
      <c r="A179" s="6" t="s">
        <v>21</v>
      </c>
      <c r="B179" s="6" t="s">
        <v>36</v>
      </c>
      <c r="C179" s="6" t="s">
        <v>39</v>
      </c>
      <c r="D179" s="6" t="s">
        <v>20</v>
      </c>
      <c r="E179" s="6">
        <v>1022.23</v>
      </c>
      <c r="F179" s="6">
        <v>8</v>
      </c>
      <c r="G179" s="6">
        <v>0.1</v>
      </c>
      <c r="H179" s="7">
        <v>45717</v>
      </c>
      <c r="I179" s="1">
        <v>460</v>
      </c>
      <c r="J179" s="8">
        <f t="shared" si="15"/>
        <v>3419.2</v>
      </c>
      <c r="K179" s="9">
        <f t="shared" si="16"/>
        <v>191</v>
      </c>
      <c r="L179" s="10">
        <f t="shared" ca="1" si="17"/>
        <v>46280.699263773146</v>
      </c>
    </row>
    <row r="180" spans="1:12" ht="15.75" customHeight="1" x14ac:dyDescent="0.3">
      <c r="A180" s="6" t="s">
        <v>77</v>
      </c>
      <c r="B180" s="6" t="s">
        <v>34</v>
      </c>
      <c r="C180" s="6" t="s">
        <v>23</v>
      </c>
      <c r="D180" s="6" t="s">
        <v>17</v>
      </c>
      <c r="E180" s="6">
        <v>1099.69</v>
      </c>
      <c r="F180" s="6">
        <v>6</v>
      </c>
      <c r="G180" s="6">
        <v>0</v>
      </c>
      <c r="H180" s="7">
        <v>45718</v>
      </c>
      <c r="I180" s="1">
        <v>439.88</v>
      </c>
      <c r="J180" s="8">
        <f t="shared" si="15"/>
        <v>7813.59</v>
      </c>
      <c r="K180" s="9">
        <f t="shared" si="16"/>
        <v>88</v>
      </c>
      <c r="L180" s="10">
        <f t="shared" ca="1" si="17"/>
        <v>46280.699263773146</v>
      </c>
    </row>
    <row r="181" spans="1:12" ht="15.75" customHeight="1" x14ac:dyDescent="0.3">
      <c r="A181" s="6" t="s">
        <v>57</v>
      </c>
      <c r="B181" s="6" t="s">
        <v>69</v>
      </c>
      <c r="C181" s="6" t="s">
        <v>29</v>
      </c>
      <c r="D181" s="6" t="s">
        <v>17</v>
      </c>
      <c r="E181" s="6">
        <v>710.52</v>
      </c>
      <c r="F181" s="6">
        <v>8</v>
      </c>
      <c r="G181" s="6">
        <v>0.1</v>
      </c>
      <c r="H181" s="7">
        <v>45721</v>
      </c>
      <c r="I181" s="1">
        <v>255.79</v>
      </c>
      <c r="J181" s="8">
        <f t="shared" si="15"/>
        <v>10293.870000000001</v>
      </c>
      <c r="K181" s="9">
        <f t="shared" si="16"/>
        <v>12</v>
      </c>
      <c r="L181" s="10">
        <f t="shared" ca="1" si="17"/>
        <v>46280.699263773146</v>
      </c>
    </row>
    <row r="182" spans="1:12" ht="15.75" customHeight="1" x14ac:dyDescent="0.3">
      <c r="A182" s="6" t="s">
        <v>57</v>
      </c>
      <c r="B182" s="6" t="s">
        <v>64</v>
      </c>
      <c r="C182" s="6" t="s">
        <v>29</v>
      </c>
      <c r="D182" s="6" t="s">
        <v>17</v>
      </c>
      <c r="E182" s="6">
        <v>499.18</v>
      </c>
      <c r="F182" s="6">
        <v>15</v>
      </c>
      <c r="G182" s="6">
        <v>0.2</v>
      </c>
      <c r="H182" s="7">
        <v>45724</v>
      </c>
      <c r="I182" s="1">
        <v>159.74</v>
      </c>
      <c r="J182" s="8">
        <f t="shared" si="15"/>
        <v>10293.870000000001</v>
      </c>
      <c r="K182" s="9">
        <f t="shared" si="16"/>
        <v>12</v>
      </c>
      <c r="L182" s="10">
        <f t="shared" ca="1" si="17"/>
        <v>46280.699263773146</v>
      </c>
    </row>
    <row r="183" spans="1:12" ht="15.75" customHeight="1" x14ac:dyDescent="0.3">
      <c r="A183" s="6" t="s">
        <v>42</v>
      </c>
      <c r="B183" s="6" t="s">
        <v>43</v>
      </c>
      <c r="C183" s="6" t="s">
        <v>25</v>
      </c>
      <c r="D183" s="6" t="s">
        <v>17</v>
      </c>
      <c r="E183" s="6">
        <v>1064.19</v>
      </c>
      <c r="F183" s="6">
        <v>18</v>
      </c>
      <c r="G183" s="6">
        <v>0.05</v>
      </c>
      <c r="H183" s="7">
        <v>45725</v>
      </c>
      <c r="I183" s="1">
        <v>404.39</v>
      </c>
      <c r="J183" s="8">
        <f t="shared" si="15"/>
        <v>6729.8899999999994</v>
      </c>
      <c r="K183" s="9">
        <f t="shared" si="16"/>
        <v>102</v>
      </c>
      <c r="L183" s="10">
        <f t="shared" ca="1" si="17"/>
        <v>46280.699263773146</v>
      </c>
    </row>
    <row r="184" spans="1:12" ht="15.75" customHeight="1" x14ac:dyDescent="0.3">
      <c r="A184" s="6" t="s">
        <v>72</v>
      </c>
      <c r="B184" s="6" t="s">
        <v>43</v>
      </c>
      <c r="C184" s="6" t="s">
        <v>23</v>
      </c>
      <c r="D184" s="6" t="s">
        <v>44</v>
      </c>
      <c r="E184" s="6">
        <v>438.76</v>
      </c>
      <c r="F184" s="6">
        <v>18</v>
      </c>
      <c r="G184" s="6">
        <v>0.05</v>
      </c>
      <c r="H184" s="7">
        <v>45726</v>
      </c>
      <c r="I184" s="1">
        <v>187.57</v>
      </c>
      <c r="J184" s="8">
        <f t="shared" si="15"/>
        <v>8490.18</v>
      </c>
      <c r="K184" s="9">
        <f t="shared" si="16"/>
        <v>61</v>
      </c>
      <c r="L184" s="10">
        <f t="shared" ca="1" si="17"/>
        <v>46280.699263773146</v>
      </c>
    </row>
    <row r="185" spans="1:12" ht="15.75" customHeight="1" x14ac:dyDescent="0.3">
      <c r="A185" s="6" t="s">
        <v>46</v>
      </c>
      <c r="B185" s="6" t="s">
        <v>60</v>
      </c>
      <c r="C185" s="6" t="s">
        <v>16</v>
      </c>
      <c r="D185" s="6" t="s">
        <v>20</v>
      </c>
      <c r="E185" s="6">
        <v>864.98</v>
      </c>
      <c r="F185" s="6">
        <v>2</v>
      </c>
      <c r="G185" s="6">
        <v>0.05</v>
      </c>
      <c r="H185" s="7">
        <v>45727</v>
      </c>
      <c r="I185" s="1">
        <v>410.87</v>
      </c>
      <c r="J185" s="8">
        <f t="shared" si="15"/>
        <v>5779.05</v>
      </c>
      <c r="K185" s="9">
        <f t="shared" si="16"/>
        <v>147</v>
      </c>
      <c r="L185" s="10">
        <f t="shared" ca="1" si="17"/>
        <v>46280.699263773146</v>
      </c>
    </row>
    <row r="186" spans="1:12" ht="15.75" customHeight="1" x14ac:dyDescent="0.3">
      <c r="A186" s="6" t="s">
        <v>62</v>
      </c>
      <c r="B186" s="6" t="s">
        <v>60</v>
      </c>
      <c r="C186" s="6" t="s">
        <v>16</v>
      </c>
      <c r="D186" s="6" t="s">
        <v>32</v>
      </c>
      <c r="E186" s="6">
        <v>984.93</v>
      </c>
      <c r="F186" s="6">
        <v>14</v>
      </c>
      <c r="G186" s="6">
        <v>0.2</v>
      </c>
      <c r="H186" s="7">
        <v>45733</v>
      </c>
      <c r="I186" s="1">
        <v>275.77999999999997</v>
      </c>
      <c r="J186" s="8">
        <f t="shared" si="15"/>
        <v>8740.18</v>
      </c>
      <c r="K186" s="9">
        <f t="shared" si="16"/>
        <v>53</v>
      </c>
      <c r="L186" s="10">
        <f t="shared" ca="1" si="17"/>
        <v>46280.699263773146</v>
      </c>
    </row>
    <row r="187" spans="1:12" ht="15.75" customHeight="1" x14ac:dyDescent="0.3">
      <c r="A187" s="6" t="s">
        <v>30</v>
      </c>
      <c r="B187" s="6" t="s">
        <v>60</v>
      </c>
      <c r="C187" s="6" t="s">
        <v>16</v>
      </c>
      <c r="D187" s="6" t="s">
        <v>20</v>
      </c>
      <c r="E187" s="6">
        <v>1493.49</v>
      </c>
      <c r="F187" s="6">
        <v>18</v>
      </c>
      <c r="G187" s="6">
        <v>0</v>
      </c>
      <c r="H187" s="7">
        <v>45734</v>
      </c>
      <c r="I187" s="1">
        <v>746.74</v>
      </c>
      <c r="J187" s="8">
        <f t="shared" si="15"/>
        <v>9941.8799999999992</v>
      </c>
      <c r="K187" s="9">
        <f t="shared" si="16"/>
        <v>24</v>
      </c>
      <c r="L187" s="10">
        <f t="shared" ca="1" si="17"/>
        <v>46280.699263773146</v>
      </c>
    </row>
    <row r="188" spans="1:12" ht="15.75" customHeight="1" x14ac:dyDescent="0.3">
      <c r="A188" s="6" t="s">
        <v>37</v>
      </c>
      <c r="B188" s="6" t="s">
        <v>58</v>
      </c>
      <c r="C188" s="6" t="s">
        <v>25</v>
      </c>
      <c r="D188" s="6" t="s">
        <v>20</v>
      </c>
      <c r="E188" s="6">
        <v>689.43</v>
      </c>
      <c r="F188" s="6">
        <v>9</v>
      </c>
      <c r="G188" s="6">
        <v>0.1</v>
      </c>
      <c r="H188" s="7">
        <v>45736</v>
      </c>
      <c r="I188" s="1">
        <v>310.24</v>
      </c>
      <c r="J188" s="8">
        <f t="shared" si="15"/>
        <v>6505.2</v>
      </c>
      <c r="K188" s="9">
        <f t="shared" si="16"/>
        <v>127</v>
      </c>
      <c r="L188" s="10">
        <f t="shared" ca="1" si="17"/>
        <v>46280.699263773146</v>
      </c>
    </row>
    <row r="189" spans="1:12" ht="15.75" customHeight="1" x14ac:dyDescent="0.3">
      <c r="A189" s="6" t="s">
        <v>45</v>
      </c>
      <c r="B189" s="6" t="s">
        <v>64</v>
      </c>
      <c r="C189" s="6" t="s">
        <v>25</v>
      </c>
      <c r="D189" s="6" t="s">
        <v>20</v>
      </c>
      <c r="E189" s="6">
        <v>682.24</v>
      </c>
      <c r="F189" s="6">
        <v>1</v>
      </c>
      <c r="G189" s="6">
        <v>0</v>
      </c>
      <c r="H189" s="7">
        <v>45738</v>
      </c>
      <c r="I189" s="1">
        <v>341.12</v>
      </c>
      <c r="J189" s="8">
        <f t="shared" si="15"/>
        <v>5913.68</v>
      </c>
      <c r="K189" s="9">
        <f t="shared" si="16"/>
        <v>140</v>
      </c>
      <c r="L189" s="10">
        <f t="shared" ca="1" si="17"/>
        <v>46280.699263773146</v>
      </c>
    </row>
    <row r="190" spans="1:12" ht="15.75" customHeight="1" x14ac:dyDescent="0.3">
      <c r="A190" s="6" t="s">
        <v>46</v>
      </c>
      <c r="B190" s="6" t="s">
        <v>31</v>
      </c>
      <c r="C190" s="6" t="s">
        <v>29</v>
      </c>
      <c r="D190" s="6" t="s">
        <v>26</v>
      </c>
      <c r="E190" s="6">
        <v>458.54</v>
      </c>
      <c r="F190" s="6">
        <v>15</v>
      </c>
      <c r="G190" s="6">
        <v>0.2</v>
      </c>
      <c r="H190" s="7">
        <v>45741</v>
      </c>
      <c r="I190" s="1">
        <v>91.71</v>
      </c>
      <c r="J190" s="8">
        <f t="shared" si="15"/>
        <v>5779.05</v>
      </c>
      <c r="K190" s="9">
        <f t="shared" si="16"/>
        <v>147</v>
      </c>
      <c r="L190" s="10">
        <f t="shared" ca="1" si="17"/>
        <v>46280.699263773146</v>
      </c>
    </row>
    <row r="191" spans="1:12" ht="15.75" customHeight="1" x14ac:dyDescent="0.3">
      <c r="A191" s="6" t="s">
        <v>37</v>
      </c>
      <c r="B191" s="6" t="s">
        <v>31</v>
      </c>
      <c r="C191" s="6" t="s">
        <v>25</v>
      </c>
      <c r="D191" s="6" t="s">
        <v>32</v>
      </c>
      <c r="E191" s="6">
        <v>1184.25</v>
      </c>
      <c r="F191" s="6">
        <v>11</v>
      </c>
      <c r="G191" s="6">
        <v>0.2</v>
      </c>
      <c r="H191" s="7">
        <v>45742</v>
      </c>
      <c r="I191" s="1">
        <v>331.59</v>
      </c>
      <c r="J191" s="8">
        <f t="shared" si="15"/>
        <v>6505.2</v>
      </c>
      <c r="K191" s="9">
        <f t="shared" si="16"/>
        <v>127</v>
      </c>
      <c r="L191" s="10">
        <f t="shared" ca="1" si="17"/>
        <v>46280.699263773146</v>
      </c>
    </row>
    <row r="192" spans="1:12" ht="15.75" customHeight="1" x14ac:dyDescent="0.3">
      <c r="A192" s="6" t="s">
        <v>30</v>
      </c>
      <c r="B192" s="6" t="s">
        <v>15</v>
      </c>
      <c r="C192" s="6" t="s">
        <v>25</v>
      </c>
      <c r="D192" s="6" t="s">
        <v>20</v>
      </c>
      <c r="E192" s="6">
        <v>762.14</v>
      </c>
      <c r="F192" s="6">
        <v>9</v>
      </c>
      <c r="G192" s="6">
        <v>0</v>
      </c>
      <c r="H192" s="7">
        <v>45743</v>
      </c>
      <c r="I192" s="1">
        <v>381.07</v>
      </c>
      <c r="J192" s="8">
        <f t="shared" si="15"/>
        <v>9941.8799999999992</v>
      </c>
      <c r="K192" s="9">
        <f t="shared" si="16"/>
        <v>24</v>
      </c>
      <c r="L192" s="10">
        <f t="shared" ca="1" si="17"/>
        <v>46280.699263773146</v>
      </c>
    </row>
    <row r="193" spans="1:12" ht="15.75" customHeight="1" x14ac:dyDescent="0.3">
      <c r="A193" s="6" t="s">
        <v>27</v>
      </c>
      <c r="B193" s="6" t="s">
        <v>58</v>
      </c>
      <c r="C193" s="6" t="s">
        <v>29</v>
      </c>
      <c r="D193" s="6" t="s">
        <v>17</v>
      </c>
      <c r="E193" s="6">
        <v>750.71</v>
      </c>
      <c r="F193" s="6">
        <v>10</v>
      </c>
      <c r="G193" s="6">
        <v>0.15</v>
      </c>
      <c r="H193" s="7">
        <v>45743</v>
      </c>
      <c r="I193" s="1">
        <v>255.24</v>
      </c>
      <c r="J193" s="8">
        <f t="shared" si="15"/>
        <v>7928.71</v>
      </c>
      <c r="K193" s="9">
        <f t="shared" si="16"/>
        <v>79</v>
      </c>
      <c r="L193" s="10">
        <f t="shared" ca="1" si="17"/>
        <v>46280.699263773146</v>
      </c>
    </row>
    <row r="194" spans="1:12" ht="15.75" customHeight="1" x14ac:dyDescent="0.3">
      <c r="A194" s="6" t="s">
        <v>80</v>
      </c>
      <c r="B194" s="6" t="s">
        <v>76</v>
      </c>
      <c r="C194" s="6" t="s">
        <v>39</v>
      </c>
      <c r="D194" s="6" t="s">
        <v>20</v>
      </c>
      <c r="E194" s="6">
        <v>1456.94</v>
      </c>
      <c r="F194" s="6">
        <v>14</v>
      </c>
      <c r="G194" s="6">
        <v>0.05</v>
      </c>
      <c r="H194" s="7">
        <v>45745</v>
      </c>
      <c r="I194" s="1">
        <v>692.05</v>
      </c>
      <c r="J194" s="8">
        <f t="shared" ref="J194:J201" si="18">SUMIF($A$2:$A$201,A194,$E$2:$E$201)</f>
        <v>4951.8899999999994</v>
      </c>
      <c r="K194" s="9">
        <f t="shared" ref="K194:K201" si="19">RANK(J194,$J$2:$J$201)</f>
        <v>154</v>
      </c>
      <c r="L194" s="10">
        <f t="shared" ref="L194:L201" ca="1" si="20">NOW()</f>
        <v>46280.699263773146</v>
      </c>
    </row>
    <row r="195" spans="1:12" ht="15.75" customHeight="1" x14ac:dyDescent="0.3">
      <c r="A195" s="6" t="s">
        <v>49</v>
      </c>
      <c r="B195" s="6" t="s">
        <v>66</v>
      </c>
      <c r="C195" s="6" t="s">
        <v>23</v>
      </c>
      <c r="D195" s="6" t="s">
        <v>32</v>
      </c>
      <c r="E195" s="6">
        <v>1093.3800000000001</v>
      </c>
      <c r="F195" s="6">
        <v>17</v>
      </c>
      <c r="G195" s="6">
        <v>0.1</v>
      </c>
      <c r="H195" s="7">
        <v>45745</v>
      </c>
      <c r="I195" s="1">
        <v>344.41</v>
      </c>
      <c r="J195" s="8">
        <f t="shared" si="18"/>
        <v>9760.7999999999993</v>
      </c>
      <c r="K195" s="9">
        <f t="shared" si="19"/>
        <v>34</v>
      </c>
      <c r="L195" s="10">
        <f t="shared" ca="1" si="20"/>
        <v>46280.699263773146</v>
      </c>
    </row>
    <row r="196" spans="1:12" ht="15.75" customHeight="1" x14ac:dyDescent="0.3">
      <c r="A196" s="6" t="s">
        <v>42</v>
      </c>
      <c r="B196" s="6" t="s">
        <v>48</v>
      </c>
      <c r="C196" s="6" t="s">
        <v>16</v>
      </c>
      <c r="D196" s="6" t="s">
        <v>20</v>
      </c>
      <c r="E196" s="6">
        <v>934.27</v>
      </c>
      <c r="F196" s="6">
        <v>8</v>
      </c>
      <c r="G196" s="6">
        <v>0.15</v>
      </c>
      <c r="H196" s="7">
        <v>45746</v>
      </c>
      <c r="I196" s="1">
        <v>397.06</v>
      </c>
      <c r="J196" s="8">
        <f t="shared" si="18"/>
        <v>6729.8899999999994</v>
      </c>
      <c r="K196" s="9">
        <f t="shared" si="19"/>
        <v>102</v>
      </c>
      <c r="L196" s="10">
        <f t="shared" ca="1" si="20"/>
        <v>46280.699263773146</v>
      </c>
    </row>
    <row r="197" spans="1:12" ht="15.75" customHeight="1" x14ac:dyDescent="0.3">
      <c r="A197" s="6" t="s">
        <v>75</v>
      </c>
      <c r="B197" s="6" t="s">
        <v>41</v>
      </c>
      <c r="C197" s="6" t="s">
        <v>39</v>
      </c>
      <c r="D197" s="6" t="s">
        <v>20</v>
      </c>
      <c r="E197" s="6">
        <v>1465.35</v>
      </c>
      <c r="F197" s="6">
        <v>8</v>
      </c>
      <c r="G197" s="6">
        <v>0.2</v>
      </c>
      <c r="H197" s="7">
        <v>45746</v>
      </c>
      <c r="I197" s="1">
        <v>586.14</v>
      </c>
      <c r="J197" s="8">
        <f t="shared" si="18"/>
        <v>7583.1299999999992</v>
      </c>
      <c r="K197" s="9">
        <f t="shared" si="19"/>
        <v>95</v>
      </c>
      <c r="L197" s="10">
        <f t="shared" ca="1" si="20"/>
        <v>46280.699263773146</v>
      </c>
    </row>
    <row r="198" spans="1:12" ht="15.75" customHeight="1" x14ac:dyDescent="0.3">
      <c r="A198" s="6" t="s">
        <v>57</v>
      </c>
      <c r="B198" s="6" t="s">
        <v>19</v>
      </c>
      <c r="C198" s="6" t="s">
        <v>25</v>
      </c>
      <c r="D198" s="6" t="s">
        <v>44</v>
      </c>
      <c r="E198" s="6">
        <v>740.8</v>
      </c>
      <c r="F198" s="6">
        <v>3</v>
      </c>
      <c r="G198" s="6">
        <v>0</v>
      </c>
      <c r="H198" s="7">
        <v>45749</v>
      </c>
      <c r="I198" s="1">
        <v>333.36</v>
      </c>
      <c r="J198" s="8">
        <f t="shared" si="18"/>
        <v>10293.870000000001</v>
      </c>
      <c r="K198" s="9">
        <f t="shared" si="19"/>
        <v>12</v>
      </c>
      <c r="L198" s="10">
        <f t="shared" ca="1" si="20"/>
        <v>46280.699263773146</v>
      </c>
    </row>
    <row r="199" spans="1:12" ht="15.75" customHeight="1" x14ac:dyDescent="0.3">
      <c r="A199" s="6" t="s">
        <v>63</v>
      </c>
      <c r="B199" s="6" t="s">
        <v>48</v>
      </c>
      <c r="C199" s="6" t="s">
        <v>16</v>
      </c>
      <c r="D199" s="6" t="s">
        <v>44</v>
      </c>
      <c r="E199" s="6">
        <v>545.44000000000005</v>
      </c>
      <c r="F199" s="6">
        <v>17</v>
      </c>
      <c r="G199" s="6">
        <v>0</v>
      </c>
      <c r="H199" s="7">
        <v>45752</v>
      </c>
      <c r="I199" s="1">
        <v>245.45</v>
      </c>
      <c r="J199" s="8">
        <f t="shared" si="18"/>
        <v>11611.060000000001</v>
      </c>
      <c r="K199" s="9">
        <f t="shared" si="19"/>
        <v>1</v>
      </c>
      <c r="L199" s="10">
        <f t="shared" ca="1" si="20"/>
        <v>46280.699263773146</v>
      </c>
    </row>
    <row r="200" spans="1:12" ht="15.75" customHeight="1" x14ac:dyDescent="0.3">
      <c r="A200" s="6" t="s">
        <v>40</v>
      </c>
      <c r="B200" s="6" t="s">
        <v>41</v>
      </c>
      <c r="C200" s="6" t="s">
        <v>23</v>
      </c>
      <c r="D200" s="6" t="s">
        <v>17</v>
      </c>
      <c r="E200" s="6">
        <v>997.61</v>
      </c>
      <c r="F200" s="6">
        <v>8</v>
      </c>
      <c r="G200" s="6">
        <v>0.05</v>
      </c>
      <c r="H200" s="7">
        <v>45752</v>
      </c>
      <c r="I200" s="1">
        <v>379.09</v>
      </c>
      <c r="J200" s="8">
        <f t="shared" si="18"/>
        <v>4259.22</v>
      </c>
      <c r="K200" s="9">
        <f t="shared" si="19"/>
        <v>173</v>
      </c>
      <c r="L200" s="10">
        <f t="shared" ca="1" si="20"/>
        <v>46280.699263773146</v>
      </c>
    </row>
    <row r="201" spans="1:12" ht="15.75" customHeight="1" x14ac:dyDescent="0.3">
      <c r="A201" s="6" t="s">
        <v>65</v>
      </c>
      <c r="B201" s="6" t="s">
        <v>41</v>
      </c>
      <c r="C201" s="6" t="s">
        <v>25</v>
      </c>
      <c r="D201" s="6" t="s">
        <v>20</v>
      </c>
      <c r="E201" s="6">
        <v>928.32</v>
      </c>
      <c r="F201" s="6">
        <v>2</v>
      </c>
      <c r="G201" s="6">
        <v>0.05</v>
      </c>
      <c r="H201" s="7">
        <v>45754</v>
      </c>
      <c r="I201" s="1">
        <v>440.95</v>
      </c>
      <c r="J201" s="8">
        <f t="shared" si="18"/>
        <v>3369.17</v>
      </c>
      <c r="K201" s="9">
        <f t="shared" si="19"/>
        <v>195</v>
      </c>
      <c r="L201" s="10">
        <f t="shared" ca="1" si="20"/>
        <v>46280.699263773146</v>
      </c>
    </row>
    <row r="202" spans="1:12" ht="15.75" customHeight="1" x14ac:dyDescent="0.3"/>
    <row r="203" spans="1:12" ht="15.75" customHeight="1" x14ac:dyDescent="0.3"/>
    <row r="204" spans="1:12" ht="15.75" customHeight="1" x14ac:dyDescent="0.3"/>
    <row r="205" spans="1:12" ht="15.75" customHeight="1" x14ac:dyDescent="0.3"/>
    <row r="206" spans="1:12" ht="15.75" customHeight="1" x14ac:dyDescent="0.3"/>
    <row r="207" spans="1:12" ht="15.75" customHeight="1" x14ac:dyDescent="0.3"/>
    <row r="208" spans="1: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A2:I201">
    <cfRule type="expression" dxfId="1" priority="2">
      <formula>$K2&lt;=10</formula>
    </cfRule>
  </conditionalFormatting>
  <conditionalFormatting sqref="I2:I201">
    <cfRule type="iconSet" priority="3">
      <iconSet>
        <cfvo type="percent" val="0"/>
        <cfvo type="percent" val="33"/>
        <cfvo type="percent" val="67"/>
      </iconSet>
    </cfRule>
  </conditionalFormatting>
  <pageMargins left="0.75" right="0.75" top="1" bottom="1"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
  <sheetViews>
    <sheetView showGridLines="0" zoomScaleNormal="100" workbookViewId="0">
      <selection activeCell="C9" sqref="C9"/>
    </sheetView>
  </sheetViews>
  <sheetFormatPr defaultColWidth="8.6640625" defaultRowHeight="14.4" x14ac:dyDescent="0.3"/>
  <cols>
    <col min="1" max="6" width="15" customWidth="1"/>
    <col min="9" max="9" width="8" customWidth="1"/>
    <col min="10" max="10" width="14" customWidth="1"/>
    <col min="11" max="11" width="18" customWidth="1"/>
    <col min="12" max="12" width="14" customWidth="1"/>
  </cols>
  <sheetData>
    <row r="1" spans="1:12" ht="21" x14ac:dyDescent="0.4">
      <c r="A1" s="36" t="s">
        <v>81</v>
      </c>
      <c r="B1" s="36"/>
      <c r="C1" s="36"/>
      <c r="D1" s="36"/>
      <c r="E1" s="36"/>
      <c r="F1" s="36"/>
      <c r="G1" s="36"/>
      <c r="H1" s="36"/>
    </row>
    <row r="2" spans="1:12" x14ac:dyDescent="0.3">
      <c r="A2" s="37" t="s">
        <v>82</v>
      </c>
      <c r="B2" s="37"/>
      <c r="C2" s="37"/>
      <c r="D2" s="37"/>
      <c r="E2" s="37"/>
      <c r="F2" s="37"/>
      <c r="G2" s="37"/>
      <c r="H2" s="37"/>
    </row>
    <row r="4" spans="1:12" ht="18" customHeight="1" x14ac:dyDescent="0.3">
      <c r="A4" s="11" t="s">
        <v>83</v>
      </c>
      <c r="B4" s="11" t="s">
        <v>84</v>
      </c>
      <c r="C4" s="11" t="s">
        <v>85</v>
      </c>
      <c r="D4" s="11" t="s">
        <v>86</v>
      </c>
      <c r="E4" s="11" t="s">
        <v>87</v>
      </c>
      <c r="F4" s="11" t="s">
        <v>88</v>
      </c>
    </row>
    <row r="5" spans="1:12" ht="27.75" customHeight="1" x14ac:dyDescent="0.4">
      <c r="A5" s="13">
        <f>SUM(Dataset!$E$2:$E$201)</f>
        <v>195217.75999999992</v>
      </c>
      <c r="B5" s="13">
        <f>SUM(Dataset!$I$2:$I$201)</f>
        <v>68287.010000000009</v>
      </c>
      <c r="C5" s="14">
        <f>COUNTA(Dataset!$A$2:$A$201)</f>
        <v>200</v>
      </c>
      <c r="D5" s="14">
        <f>SUMPRODUCT(1/COUNTIF(Dataset!$A$2:$A$201,Dataset!$A$2:$A$201))</f>
        <v>29.999999999999961</v>
      </c>
      <c r="E5" s="15">
        <f>AVERAGE(Dataset!$G$2:$G$201)</f>
        <v>9.7250000000000003E-2</v>
      </c>
      <c r="F5" s="15">
        <f>SUM(Dataset!$I$2:$I$201)/SUM(Dataset!$E$2:$E$201)</f>
        <v>0.34979916786259629</v>
      </c>
      <c r="I5" s="5" t="s">
        <v>90</v>
      </c>
      <c r="J5" s="5" t="s">
        <v>2</v>
      </c>
      <c r="K5" s="5" t="s">
        <v>3</v>
      </c>
      <c r="L5" s="5" t="s">
        <v>91</v>
      </c>
    </row>
    <row r="6" spans="1:12" x14ac:dyDescent="0.3">
      <c r="I6" s="9">
        <f>'High-Value Customers'!A39</f>
        <v>1</v>
      </c>
      <c r="J6" s="12" t="s">
        <v>89</v>
      </c>
      <c r="K6" s="9" t="str">
        <f>'High-Value Customers'!C39</f>
        <v>Linda Taylor</v>
      </c>
      <c r="L6" s="34">
        <f>'High-Value Customers'!D39</f>
        <v>11611.060000000001</v>
      </c>
    </row>
    <row r="7" spans="1:12" x14ac:dyDescent="0.3">
      <c r="I7" s="9">
        <f>'High-Value Customers'!A40</f>
        <v>2</v>
      </c>
      <c r="J7" s="9" t="str">
        <f>'High-Value Customers'!B40</f>
        <v>CUST028</v>
      </c>
      <c r="K7" s="9" t="str">
        <f>'High-Value Customers'!C40</f>
        <v>Linda Taylor</v>
      </c>
      <c r="L7" s="8">
        <f>'High-Value Customers'!D40</f>
        <v>10293.870000000001</v>
      </c>
    </row>
    <row r="8" spans="1:12" x14ac:dyDescent="0.3">
      <c r="A8" s="16"/>
      <c r="B8" s="12"/>
      <c r="I8" s="9">
        <f>'High-Value Customers'!A41</f>
        <v>3</v>
      </c>
      <c r="J8" s="9" t="str">
        <f>'High-Value Customers'!B41</f>
        <v>CUST007</v>
      </c>
      <c r="K8" s="9" t="str">
        <f>'High-Value Customers'!C41</f>
        <v>Michael Anderson</v>
      </c>
      <c r="L8" s="8">
        <f>'High-Value Customers'!D41</f>
        <v>9941.8799999999992</v>
      </c>
    </row>
    <row r="9" spans="1:12" x14ac:dyDescent="0.3">
      <c r="A9" s="16"/>
      <c r="B9" s="12"/>
      <c r="I9" s="9">
        <f>'High-Value Customers'!A42</f>
        <v>4</v>
      </c>
      <c r="J9" s="9" t="str">
        <f>'High-Value Customers'!B42</f>
        <v>CUST008</v>
      </c>
      <c r="K9" s="9" t="str">
        <f>'High-Value Customers'!C42</f>
        <v>Robert Anderson</v>
      </c>
      <c r="L9" s="8">
        <f>'High-Value Customers'!D42</f>
        <v>9760.7999999999993</v>
      </c>
    </row>
    <row r="10" spans="1:12" x14ac:dyDescent="0.3">
      <c r="I10" s="9">
        <f>'High-Value Customers'!A43</f>
        <v>5</v>
      </c>
      <c r="J10" s="9" t="str">
        <f>'High-Value Customers'!B43</f>
        <v>CUST026</v>
      </c>
      <c r="K10" s="9" t="str">
        <f>'High-Value Customers'!C43</f>
        <v>Mary Davis</v>
      </c>
      <c r="L10" s="8">
        <f>'High-Value Customers'!D43</f>
        <v>9371.81</v>
      </c>
    </row>
    <row r="11" spans="1:12" x14ac:dyDescent="0.3">
      <c r="I11" s="9">
        <f>'High-Value Customers'!A44</f>
        <v>6</v>
      </c>
      <c r="J11" s="9" t="str">
        <f>'High-Value Customers'!B44</f>
        <v>CUST021</v>
      </c>
      <c r="K11" s="9" t="str">
        <f>'High-Value Customers'!C44</f>
        <v>Sarah Anderson</v>
      </c>
      <c r="L11" s="8">
        <f>'High-Value Customers'!D44</f>
        <v>8740.18</v>
      </c>
    </row>
    <row r="12" spans="1:12" x14ac:dyDescent="0.3">
      <c r="I12" s="9">
        <f>'High-Value Customers'!A45</f>
        <v>7</v>
      </c>
      <c r="J12" s="9" t="str">
        <f>'High-Value Customers'!B45</f>
        <v>CUST003</v>
      </c>
      <c r="K12" s="9" t="str">
        <f>'High-Value Customers'!C45</f>
        <v>Emma Davis</v>
      </c>
      <c r="L12" s="8">
        <f>'High-Value Customers'!D45</f>
        <v>8490.18</v>
      </c>
    </row>
    <row r="13" spans="1:12" x14ac:dyDescent="0.3">
      <c r="I13" s="9">
        <f>'High-Value Customers'!A46</f>
        <v>8</v>
      </c>
      <c r="J13" s="9" t="str">
        <f>'High-Value Customers'!B46</f>
        <v>CUST012</v>
      </c>
      <c r="K13" s="9" t="str">
        <f>'High-Value Customers'!C46</f>
        <v>Robert Anderson</v>
      </c>
      <c r="L13" s="8">
        <f>'High-Value Customers'!D46</f>
        <v>8339</v>
      </c>
    </row>
    <row r="14" spans="1:12" x14ac:dyDescent="0.3">
      <c r="I14" s="9">
        <f>'High-Value Customers'!A47</f>
        <v>9</v>
      </c>
      <c r="J14" s="9" t="str">
        <f>'High-Value Customers'!B47</f>
        <v>CUST030</v>
      </c>
      <c r="K14" s="9" t="str">
        <f>'High-Value Customers'!C47</f>
        <v>James Wilson</v>
      </c>
      <c r="L14" s="8">
        <f>'High-Value Customers'!D47</f>
        <v>7928.71</v>
      </c>
    </row>
    <row r="15" spans="1:12" x14ac:dyDescent="0.3">
      <c r="I15" s="9">
        <f>'High-Value Customers'!A48</f>
        <v>10</v>
      </c>
      <c r="J15" s="9" t="str">
        <f>'High-Value Customers'!B48</f>
        <v>CUST004</v>
      </c>
      <c r="K15" s="9" t="str">
        <f>'High-Value Customers'!C48</f>
        <v>Lisa Thomas</v>
      </c>
      <c r="L15" s="8">
        <f>'High-Value Customers'!D48</f>
        <v>7813.59</v>
      </c>
    </row>
    <row r="46" spans="1:8" x14ac:dyDescent="0.3">
      <c r="A46" s="38"/>
      <c r="B46" s="38"/>
      <c r="C46" s="38"/>
      <c r="D46" s="38"/>
      <c r="E46" s="38"/>
      <c r="F46" s="38"/>
      <c r="G46" s="38"/>
      <c r="H46" s="38"/>
    </row>
    <row r="47" spans="1:8" ht="30" customHeight="1" x14ac:dyDescent="0.3">
      <c r="A47" s="35"/>
      <c r="B47" s="35"/>
      <c r="C47" s="35"/>
      <c r="D47" s="35"/>
      <c r="E47" s="35"/>
      <c r="F47" s="35"/>
      <c r="G47" s="35"/>
      <c r="H47" s="35"/>
    </row>
    <row r="48" spans="1:8" ht="30" customHeight="1" x14ac:dyDescent="0.3">
      <c r="A48" s="35"/>
      <c r="B48" s="35"/>
      <c r="C48" s="35"/>
      <c r="D48" s="35"/>
      <c r="E48" s="35"/>
      <c r="F48" s="35"/>
      <c r="G48" s="35"/>
      <c r="H48" s="35"/>
    </row>
    <row r="49" spans="1:8" ht="30" customHeight="1" x14ac:dyDescent="0.3">
      <c r="A49" s="35"/>
      <c r="B49" s="35"/>
      <c r="C49" s="35"/>
      <c r="D49" s="35"/>
      <c r="E49" s="35"/>
      <c r="F49" s="35"/>
      <c r="G49" s="35"/>
      <c r="H49" s="35"/>
    </row>
    <row r="50" spans="1:8" ht="30" customHeight="1" x14ac:dyDescent="0.3">
      <c r="A50" s="35"/>
      <c r="B50" s="35"/>
      <c r="C50" s="35"/>
      <c r="D50" s="35"/>
      <c r="E50" s="35"/>
      <c r="F50" s="35"/>
      <c r="G50" s="35"/>
      <c r="H50" s="35"/>
    </row>
  </sheetData>
  <mergeCells count="7">
    <mergeCell ref="A49:H49"/>
    <mergeCell ref="A50:H50"/>
    <mergeCell ref="A1:H1"/>
    <mergeCell ref="A2:H2"/>
    <mergeCell ref="A46:H46"/>
    <mergeCell ref="A47:H47"/>
    <mergeCell ref="A48:H48"/>
  </mergeCells>
  <conditionalFormatting sqref="L6:L15">
    <cfRule type="dataBar" priority="2">
      <dataBar>
        <cfvo type="min"/>
        <cfvo type="max"/>
        <color rgb="FFFFC000"/>
      </dataBar>
      <extLst>
        <ext xmlns:x14="http://schemas.microsoft.com/office/spreadsheetml/2009/9/main" uri="{B025F937-C7B1-47D3-B67F-A62EFF666E3E}">
          <x14:id>{E3BA4EA3-D719-4DC4-B884-20A379D86F39}</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E3BA4EA3-D719-4DC4-B884-20A379D86F39}">
            <x14:dataBar axisPosition="none">
              <x14:cfvo type="min"/>
              <x14:cfvo type="max"/>
              <x14:negativeFillColor rgb="FFFFC000"/>
            </x14:dataBar>
          </x14:cfRule>
          <xm:sqref>L6:L15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showGridLines="0" zoomScaleNormal="100" workbookViewId="0">
      <pane ySplit="5" topLeftCell="A33" activePane="bottomLeft" state="frozen"/>
      <selection pane="bottomLeft" activeCell="C38" sqref="C38"/>
    </sheetView>
  </sheetViews>
  <sheetFormatPr defaultColWidth="8.6640625" defaultRowHeight="14.4" x14ac:dyDescent="0.3"/>
  <cols>
    <col min="1" max="1" width="14" customWidth="1"/>
    <col min="2" max="2" width="18" customWidth="1"/>
    <col min="3" max="4" width="13" customWidth="1"/>
    <col min="5" max="5" width="12" customWidth="1"/>
    <col min="6" max="6" width="22.33203125" customWidth="1"/>
    <col min="7" max="7" width="10" customWidth="1"/>
    <col min="8" max="8" width="13" customWidth="1"/>
  </cols>
  <sheetData>
    <row r="1" spans="1:8" ht="21" x14ac:dyDescent="0.4">
      <c r="A1" s="36" t="s">
        <v>92</v>
      </c>
      <c r="B1" s="36"/>
      <c r="C1" s="36"/>
      <c r="D1" s="36"/>
      <c r="E1" s="36"/>
      <c r="F1" s="36"/>
    </row>
    <row r="3" spans="1:8" x14ac:dyDescent="0.3">
      <c r="A3" s="37"/>
      <c r="B3" s="37"/>
      <c r="C3" s="37"/>
      <c r="D3" s="37"/>
      <c r="E3" s="37"/>
      <c r="F3" s="37"/>
      <c r="G3" s="37"/>
      <c r="H3" s="37"/>
    </row>
    <row r="5" spans="1:8" ht="27.6" x14ac:dyDescent="0.3">
      <c r="A5" s="5" t="s">
        <v>2</v>
      </c>
      <c r="B5" s="5" t="s">
        <v>3</v>
      </c>
      <c r="C5" s="5" t="s">
        <v>91</v>
      </c>
      <c r="D5" s="5" t="s">
        <v>93</v>
      </c>
      <c r="E5" s="5" t="s">
        <v>94</v>
      </c>
      <c r="F5" s="5" t="s">
        <v>95</v>
      </c>
      <c r="G5" s="5" t="s">
        <v>96</v>
      </c>
      <c r="H5" s="5" t="s">
        <v>97</v>
      </c>
    </row>
    <row r="6" spans="1:8" x14ac:dyDescent="0.3">
      <c r="A6" s="17" t="str">
        <f t="shared" ref="A6:A35" si="0">"CUST"&amp;TEXT(ROW()-5,"000")</f>
        <v>CUST001</v>
      </c>
      <c r="B6" s="17" t="str">
        <f>IFERROR(INDEX(Dataset!$B$2:$B$201,MATCH(A6,Dataset!$A$2:$A$201,0)),"")</f>
        <v>Linda Wilson</v>
      </c>
      <c r="C6" s="8">
        <f>SUMIF(Dataset!$A$2:$A$201,A6,Dataset!$E$2:$E$201)</f>
        <v>6549.55</v>
      </c>
      <c r="D6" s="8">
        <f>SUMIF(Dataset!$A$2:$A$201,A6,Dataset!$I$2:$I$201)</f>
        <v>1868.7700000000004</v>
      </c>
      <c r="E6" s="17">
        <f>COUNTIF(Dataset!$A$2:$A$201,A6)</f>
        <v>7</v>
      </c>
      <c r="F6" s="8">
        <f t="shared" ref="F6:F35" si="1">IFERROR(C6/E6,0)</f>
        <v>935.65</v>
      </c>
      <c r="G6" s="17">
        <f t="shared" ref="G6:G35" si="2">RANK(C6,$C$6:$C$35)</f>
        <v>15</v>
      </c>
      <c r="H6" s="17" t="str">
        <f t="shared" ref="H6:H35" si="3">IF(G6&lt;=10,"High-Value","Standard")</f>
        <v>Standard</v>
      </c>
    </row>
    <row r="7" spans="1:8" x14ac:dyDescent="0.3">
      <c r="A7" s="17" t="str">
        <f t="shared" si="0"/>
        <v>CUST002</v>
      </c>
      <c r="B7" s="17" t="str">
        <f>IFERROR(INDEX(Dataset!$B$2:$B$201,MATCH(A7,Dataset!$A$2:$A$201,0)),"")</f>
        <v>Lisa Davis</v>
      </c>
      <c r="C7" s="8">
        <f>SUMIF(Dataset!$A$2:$A$201,A7,Dataset!$E$2:$E$201)</f>
        <v>6481.43</v>
      </c>
      <c r="D7" s="8">
        <f>SUMIF(Dataset!$A$2:$A$201,A7,Dataset!$I$2:$I$201)</f>
        <v>2210.7399999999998</v>
      </c>
      <c r="E7" s="17">
        <f>COUNTIF(Dataset!$A$2:$A$201,A7)</f>
        <v>6</v>
      </c>
      <c r="F7" s="8">
        <f t="shared" si="1"/>
        <v>1080.2383333333335</v>
      </c>
      <c r="G7" s="17">
        <f t="shared" si="2"/>
        <v>17</v>
      </c>
      <c r="H7" s="17" t="str">
        <f t="shared" si="3"/>
        <v>Standard</v>
      </c>
    </row>
    <row r="8" spans="1:8" x14ac:dyDescent="0.3">
      <c r="A8" s="17" t="str">
        <f t="shared" si="0"/>
        <v>CUST003</v>
      </c>
      <c r="B8" s="17" t="str">
        <f>IFERROR(INDEX(Dataset!$B$2:$B$201,MATCH(A8,Dataset!$A$2:$A$201,0)),"")</f>
        <v>Emma Davis</v>
      </c>
      <c r="C8" s="8">
        <f>SUMIF(Dataset!$A$2:$A$201,A8,Dataset!$E$2:$E$201)</f>
        <v>8490.18</v>
      </c>
      <c r="D8" s="8">
        <f>SUMIF(Dataset!$A$2:$A$201,A8,Dataset!$I$2:$I$201)</f>
        <v>2652.75</v>
      </c>
      <c r="E8" s="17">
        <f>COUNTIF(Dataset!$A$2:$A$201,A8)</f>
        <v>9</v>
      </c>
      <c r="F8" s="8">
        <f t="shared" si="1"/>
        <v>943.35333333333335</v>
      </c>
      <c r="G8" s="17">
        <f t="shared" si="2"/>
        <v>7</v>
      </c>
      <c r="H8" s="17" t="str">
        <f t="shared" si="3"/>
        <v>High-Value</v>
      </c>
    </row>
    <row r="9" spans="1:8" x14ac:dyDescent="0.3">
      <c r="A9" s="17" t="str">
        <f t="shared" si="0"/>
        <v>CUST004</v>
      </c>
      <c r="B9" s="17" t="str">
        <f>IFERROR(INDEX(Dataset!$B$2:$B$201,MATCH(A9,Dataset!$A$2:$A$201,0)),"")</f>
        <v>Lisa Thomas</v>
      </c>
      <c r="C9" s="8">
        <f>SUMIF(Dataset!$A$2:$A$201,A9,Dataset!$E$2:$E$201)</f>
        <v>7813.59</v>
      </c>
      <c r="D9" s="8">
        <f>SUMIF(Dataset!$A$2:$A$201,A9,Dataset!$I$2:$I$201)</f>
        <v>3211.82</v>
      </c>
      <c r="E9" s="17">
        <f>COUNTIF(Dataset!$A$2:$A$201,A9)</f>
        <v>7</v>
      </c>
      <c r="F9" s="8">
        <f t="shared" si="1"/>
        <v>1116.2271428571428</v>
      </c>
      <c r="G9" s="17">
        <f t="shared" si="2"/>
        <v>10</v>
      </c>
      <c r="H9" s="17" t="str">
        <f t="shared" si="3"/>
        <v>High-Value</v>
      </c>
    </row>
    <row r="10" spans="1:8" x14ac:dyDescent="0.3">
      <c r="A10" s="17" t="str">
        <f t="shared" si="0"/>
        <v>CUST005</v>
      </c>
      <c r="B10" s="17" t="str">
        <f>IFERROR(INDEX(Dataset!$B$2:$B$201,MATCH(A10,Dataset!$A$2:$A$201,0)),"")</f>
        <v>Robert Anderson</v>
      </c>
      <c r="C10" s="8">
        <f>SUMIF(Dataset!$A$2:$A$201,A10,Dataset!$E$2:$E$201)</f>
        <v>6666.130000000001</v>
      </c>
      <c r="D10" s="8">
        <f>SUMIF(Dataset!$A$2:$A$201,A10,Dataset!$I$2:$I$201)</f>
        <v>1982.3899999999999</v>
      </c>
      <c r="E10" s="17">
        <f>COUNTIF(Dataset!$A$2:$A$201,A10)</f>
        <v>6</v>
      </c>
      <c r="F10" s="8">
        <f t="shared" si="1"/>
        <v>1111.0216666666668</v>
      </c>
      <c r="G10" s="17">
        <f t="shared" si="2"/>
        <v>14</v>
      </c>
      <c r="H10" s="17" t="str">
        <f t="shared" si="3"/>
        <v>Standard</v>
      </c>
    </row>
    <row r="11" spans="1:8" x14ac:dyDescent="0.3">
      <c r="A11" s="17" t="str">
        <f t="shared" si="0"/>
        <v>CUST006</v>
      </c>
      <c r="B11" s="17" t="str">
        <f>IFERROR(INDEX(Dataset!$B$2:$B$201,MATCH(A11,Dataset!$A$2:$A$201,0)),"")</f>
        <v>Mary Jackson</v>
      </c>
      <c r="C11" s="8">
        <f>SUMIF(Dataset!$A$2:$A$201,A11,Dataset!$E$2:$E$201)</f>
        <v>2699.75</v>
      </c>
      <c r="D11" s="8">
        <f>SUMIF(Dataset!$A$2:$A$201,A11,Dataset!$I$2:$I$201)</f>
        <v>837.06</v>
      </c>
      <c r="E11" s="17">
        <f>COUNTIF(Dataset!$A$2:$A$201,A11)</f>
        <v>2</v>
      </c>
      <c r="F11" s="8">
        <f t="shared" si="1"/>
        <v>1349.875</v>
      </c>
      <c r="G11" s="17">
        <f t="shared" si="2"/>
        <v>30</v>
      </c>
      <c r="H11" s="17" t="str">
        <f t="shared" si="3"/>
        <v>Standard</v>
      </c>
    </row>
    <row r="12" spans="1:8" x14ac:dyDescent="0.3">
      <c r="A12" s="17" t="str">
        <f t="shared" si="0"/>
        <v>CUST007</v>
      </c>
      <c r="B12" s="17" t="str">
        <f>IFERROR(INDEX(Dataset!$B$2:$B$201,MATCH(A12,Dataset!$A$2:$A$201,0)),"")</f>
        <v>Michael Anderson</v>
      </c>
      <c r="C12" s="8">
        <f>SUMIF(Dataset!$A$2:$A$201,A12,Dataset!$E$2:$E$201)</f>
        <v>9941.8799999999992</v>
      </c>
      <c r="D12" s="8">
        <f>SUMIF(Dataset!$A$2:$A$201,A12,Dataset!$I$2:$I$201)</f>
        <v>3936.2599999999998</v>
      </c>
      <c r="E12" s="17">
        <f>COUNTIF(Dataset!$A$2:$A$201,A12)</f>
        <v>10</v>
      </c>
      <c r="F12" s="8">
        <f t="shared" si="1"/>
        <v>994.18799999999987</v>
      </c>
      <c r="G12" s="17">
        <f t="shared" si="2"/>
        <v>3</v>
      </c>
      <c r="H12" s="17" t="str">
        <f t="shared" si="3"/>
        <v>High-Value</v>
      </c>
    </row>
    <row r="13" spans="1:8" x14ac:dyDescent="0.3">
      <c r="A13" s="17" t="str">
        <f t="shared" si="0"/>
        <v>CUST008</v>
      </c>
      <c r="B13" s="17" t="str">
        <f>IFERROR(INDEX(Dataset!$B$2:$B$201,MATCH(A13,Dataset!$A$2:$A$201,0)),"")</f>
        <v>Robert Anderson</v>
      </c>
      <c r="C13" s="8">
        <f>SUMIF(Dataset!$A$2:$A$201,A13,Dataset!$E$2:$E$201)</f>
        <v>9760.7999999999993</v>
      </c>
      <c r="D13" s="8">
        <f>SUMIF(Dataset!$A$2:$A$201,A13,Dataset!$I$2:$I$201)</f>
        <v>3442.48</v>
      </c>
      <c r="E13" s="17">
        <f>COUNTIF(Dataset!$A$2:$A$201,A13)</f>
        <v>10</v>
      </c>
      <c r="F13" s="8">
        <f t="shared" si="1"/>
        <v>976.07999999999993</v>
      </c>
      <c r="G13" s="17">
        <f t="shared" si="2"/>
        <v>4</v>
      </c>
      <c r="H13" s="17" t="str">
        <f t="shared" si="3"/>
        <v>High-Value</v>
      </c>
    </row>
    <row r="14" spans="1:8" x14ac:dyDescent="0.3">
      <c r="A14" s="17" t="str">
        <f t="shared" si="0"/>
        <v>CUST009</v>
      </c>
      <c r="B14" s="17" t="str">
        <f>IFERROR(INDEX(Dataset!$B$2:$B$201,MATCH(A14,Dataset!$A$2:$A$201,0)),"")</f>
        <v>Linda Jackson</v>
      </c>
      <c r="C14" s="8">
        <f>SUMIF(Dataset!$A$2:$A$201,A14,Dataset!$E$2:$E$201)</f>
        <v>6505.2</v>
      </c>
      <c r="D14" s="8">
        <f>SUMIF(Dataset!$A$2:$A$201,A14,Dataset!$I$2:$I$201)</f>
        <v>2052.54</v>
      </c>
      <c r="E14" s="17">
        <f>COUNTIF(Dataset!$A$2:$A$201,A14)</f>
        <v>7</v>
      </c>
      <c r="F14" s="8">
        <f t="shared" si="1"/>
        <v>929.31428571428569</v>
      </c>
      <c r="G14" s="17">
        <f t="shared" si="2"/>
        <v>16</v>
      </c>
      <c r="H14" s="17" t="str">
        <f t="shared" si="3"/>
        <v>Standard</v>
      </c>
    </row>
    <row r="15" spans="1:8" x14ac:dyDescent="0.3">
      <c r="A15" s="17" t="str">
        <f t="shared" si="0"/>
        <v>CUST010</v>
      </c>
      <c r="B15" s="17" t="str">
        <f>IFERROR(INDEX(Dataset!$B$2:$B$201,MATCH(A15,Dataset!$A$2:$A$201,0)),"")</f>
        <v>David Thomas</v>
      </c>
      <c r="C15" s="8">
        <f>SUMIF(Dataset!$A$2:$A$201,A15,Dataset!$E$2:$E$201)</f>
        <v>4259.22</v>
      </c>
      <c r="D15" s="8">
        <f>SUMIF(Dataset!$A$2:$A$201,A15,Dataset!$I$2:$I$201)</f>
        <v>1529.32</v>
      </c>
      <c r="E15" s="17">
        <f>COUNTIF(Dataset!$A$2:$A$201,A15)</f>
        <v>5</v>
      </c>
      <c r="F15" s="8">
        <f t="shared" si="1"/>
        <v>851.84400000000005</v>
      </c>
      <c r="G15" s="17">
        <f t="shared" si="2"/>
        <v>24</v>
      </c>
      <c r="H15" s="17" t="str">
        <f t="shared" si="3"/>
        <v>Standard</v>
      </c>
    </row>
    <row r="16" spans="1:8" x14ac:dyDescent="0.3">
      <c r="A16" s="17" t="str">
        <f t="shared" si="0"/>
        <v>CUST011</v>
      </c>
      <c r="B16" s="17" t="str">
        <f>IFERROR(INDEX(Dataset!$B$2:$B$201,MATCH(A16,Dataset!$A$2:$A$201,0)),"")</f>
        <v>Mary Davis</v>
      </c>
      <c r="C16" s="8">
        <f>SUMIF(Dataset!$A$2:$A$201,A16,Dataset!$E$2:$E$201)</f>
        <v>3762.2900000000004</v>
      </c>
      <c r="D16" s="8">
        <f>SUMIF(Dataset!$A$2:$A$201,A16,Dataset!$I$2:$I$201)</f>
        <v>1545.04</v>
      </c>
      <c r="E16" s="17">
        <f>COUNTIF(Dataset!$A$2:$A$201,A16)</f>
        <v>4</v>
      </c>
      <c r="F16" s="8">
        <f t="shared" si="1"/>
        <v>940.5725000000001</v>
      </c>
      <c r="G16" s="17">
        <f t="shared" si="2"/>
        <v>27</v>
      </c>
      <c r="H16" s="17" t="str">
        <f t="shared" si="3"/>
        <v>Standard</v>
      </c>
    </row>
    <row r="17" spans="1:8" x14ac:dyDescent="0.3">
      <c r="A17" s="17" t="str">
        <f t="shared" si="0"/>
        <v>CUST012</v>
      </c>
      <c r="B17" s="17" t="str">
        <f>IFERROR(INDEX(Dataset!$B$2:$B$201,MATCH(A17,Dataset!$A$2:$A$201,0)),"")</f>
        <v>Robert Anderson</v>
      </c>
      <c r="C17" s="8">
        <f>SUMIF(Dataset!$A$2:$A$201,A17,Dataset!$E$2:$E$201)</f>
        <v>8339</v>
      </c>
      <c r="D17" s="8">
        <f>SUMIF(Dataset!$A$2:$A$201,A17,Dataset!$I$2:$I$201)</f>
        <v>2988.7100000000005</v>
      </c>
      <c r="E17" s="17">
        <f>COUNTIF(Dataset!$A$2:$A$201,A17)</f>
        <v>9</v>
      </c>
      <c r="F17" s="8">
        <f t="shared" si="1"/>
        <v>926.55555555555554</v>
      </c>
      <c r="G17" s="17">
        <f t="shared" si="2"/>
        <v>8</v>
      </c>
      <c r="H17" s="17" t="str">
        <f t="shared" si="3"/>
        <v>High-Value</v>
      </c>
    </row>
    <row r="18" spans="1:8" x14ac:dyDescent="0.3">
      <c r="A18" s="17" t="str">
        <f t="shared" si="0"/>
        <v>CUST013</v>
      </c>
      <c r="B18" s="17" t="str">
        <f>IFERROR(INDEX(Dataset!$B$2:$B$201,MATCH(A18,Dataset!$A$2:$A$201,0)),"")</f>
        <v>Robert Anderson</v>
      </c>
      <c r="C18" s="8">
        <f>SUMIF(Dataset!$A$2:$A$201,A18,Dataset!$E$2:$E$201)</f>
        <v>4162.4400000000005</v>
      </c>
      <c r="D18" s="8">
        <f>SUMIF(Dataset!$A$2:$A$201,A18,Dataset!$I$2:$I$201)</f>
        <v>1605.11</v>
      </c>
      <c r="E18" s="17">
        <f>COUNTIF(Dataset!$A$2:$A$201,A18)</f>
        <v>4</v>
      </c>
      <c r="F18" s="8">
        <f t="shared" si="1"/>
        <v>1040.6100000000001</v>
      </c>
      <c r="G18" s="17">
        <f t="shared" si="2"/>
        <v>25</v>
      </c>
      <c r="H18" s="17" t="str">
        <f t="shared" si="3"/>
        <v>Standard</v>
      </c>
    </row>
    <row r="19" spans="1:8" x14ac:dyDescent="0.3">
      <c r="A19" s="17" t="str">
        <f t="shared" si="0"/>
        <v>CUST014</v>
      </c>
      <c r="B19" s="17" t="str">
        <f>IFERROR(INDEX(Dataset!$B$2:$B$201,MATCH(A19,Dataset!$A$2:$A$201,0)),"")</f>
        <v>Emma Davis</v>
      </c>
      <c r="C19" s="8">
        <f>SUMIF(Dataset!$A$2:$A$201,A19,Dataset!$E$2:$E$201)</f>
        <v>6729.8899999999994</v>
      </c>
      <c r="D19" s="8">
        <f>SUMIF(Dataset!$A$2:$A$201,A19,Dataset!$I$2:$I$201)</f>
        <v>2507.1799999999998</v>
      </c>
      <c r="E19" s="17">
        <f>COUNTIF(Dataset!$A$2:$A$201,A19)</f>
        <v>6</v>
      </c>
      <c r="F19" s="8">
        <f t="shared" si="1"/>
        <v>1121.6483333333333</v>
      </c>
      <c r="G19" s="17">
        <f t="shared" si="2"/>
        <v>12</v>
      </c>
      <c r="H19" s="17" t="str">
        <f t="shared" si="3"/>
        <v>Standard</v>
      </c>
    </row>
    <row r="20" spans="1:8" x14ac:dyDescent="0.3">
      <c r="A20" s="17" t="str">
        <f t="shared" si="0"/>
        <v>CUST015</v>
      </c>
      <c r="B20" s="17" t="str">
        <f>IFERROR(INDEX(Dataset!$B$2:$B$201,MATCH(A20,Dataset!$A$2:$A$201,0)),"")</f>
        <v>Linda Taylor</v>
      </c>
      <c r="C20" s="8">
        <f>SUMIF(Dataset!$A$2:$A$201,A20,Dataset!$E$2:$E$201)</f>
        <v>11611.060000000001</v>
      </c>
      <c r="D20" s="8">
        <f>SUMIF(Dataset!$A$2:$A$201,A20,Dataset!$I$2:$I$201)</f>
        <v>4201.59</v>
      </c>
      <c r="E20" s="17">
        <f>COUNTIF(Dataset!$A$2:$A$201,A20)</f>
        <v>11</v>
      </c>
      <c r="F20" s="8">
        <f t="shared" si="1"/>
        <v>1055.5509090909093</v>
      </c>
      <c r="G20" s="17">
        <f t="shared" si="2"/>
        <v>1</v>
      </c>
      <c r="H20" s="17" t="str">
        <f t="shared" si="3"/>
        <v>High-Value</v>
      </c>
    </row>
    <row r="21" spans="1:8" x14ac:dyDescent="0.3">
      <c r="A21" s="17" t="str">
        <f t="shared" si="0"/>
        <v>CUST016</v>
      </c>
      <c r="B21" s="17" t="str">
        <f>IFERROR(INDEX(Dataset!$B$2:$B$201,MATCH(A21,Dataset!$A$2:$A$201,0)),"")</f>
        <v>Emma Wilson</v>
      </c>
      <c r="C21" s="8">
        <f>SUMIF(Dataset!$A$2:$A$201,A21,Dataset!$E$2:$E$201)</f>
        <v>3369.17</v>
      </c>
      <c r="D21" s="8">
        <f>SUMIF(Dataset!$A$2:$A$201,A21,Dataset!$I$2:$I$201)</f>
        <v>1497.25</v>
      </c>
      <c r="E21" s="17">
        <f>COUNTIF(Dataset!$A$2:$A$201,A21)</f>
        <v>4</v>
      </c>
      <c r="F21" s="8">
        <f t="shared" si="1"/>
        <v>842.29250000000002</v>
      </c>
      <c r="G21" s="17">
        <f t="shared" si="2"/>
        <v>29</v>
      </c>
      <c r="H21" s="17" t="str">
        <f t="shared" si="3"/>
        <v>Standard</v>
      </c>
    </row>
    <row r="22" spans="1:8" x14ac:dyDescent="0.3">
      <c r="A22" s="17" t="str">
        <f t="shared" si="0"/>
        <v>CUST017</v>
      </c>
      <c r="B22" s="17" t="str">
        <f>IFERROR(INDEX(Dataset!$B$2:$B$201,MATCH(A22,Dataset!$A$2:$A$201,0)),"")</f>
        <v>James Taylor</v>
      </c>
      <c r="C22" s="8">
        <f>SUMIF(Dataset!$A$2:$A$201,A22,Dataset!$E$2:$E$201)</f>
        <v>3419.2</v>
      </c>
      <c r="D22" s="8">
        <f>SUMIF(Dataset!$A$2:$A$201,A22,Dataset!$I$2:$I$201)</f>
        <v>1257.21</v>
      </c>
      <c r="E22" s="17">
        <f>COUNTIF(Dataset!$A$2:$A$201,A22)</f>
        <v>4</v>
      </c>
      <c r="F22" s="8">
        <f t="shared" si="1"/>
        <v>854.8</v>
      </c>
      <c r="G22" s="17">
        <f t="shared" si="2"/>
        <v>28</v>
      </c>
      <c r="H22" s="17" t="str">
        <f t="shared" si="3"/>
        <v>Standard</v>
      </c>
    </row>
    <row r="23" spans="1:8" x14ac:dyDescent="0.3">
      <c r="A23" s="17" t="str">
        <f t="shared" si="0"/>
        <v>CUST018</v>
      </c>
      <c r="B23" s="17" t="str">
        <f>IFERROR(INDEX(Dataset!$B$2:$B$201,MATCH(A23,Dataset!$A$2:$A$201,0)),"")</f>
        <v>Mary Jackson</v>
      </c>
      <c r="C23" s="8">
        <f>SUMIF(Dataset!$A$2:$A$201,A23,Dataset!$E$2:$E$201)</f>
        <v>4951.8899999999994</v>
      </c>
      <c r="D23" s="8">
        <f>SUMIF(Dataset!$A$2:$A$201,A23,Dataset!$I$2:$I$201)</f>
        <v>1821.6399999999999</v>
      </c>
      <c r="E23" s="17">
        <f>COUNTIF(Dataset!$A$2:$A$201,A23)</f>
        <v>5</v>
      </c>
      <c r="F23" s="8">
        <f t="shared" si="1"/>
        <v>990.37799999999993</v>
      </c>
      <c r="G23" s="17">
        <f t="shared" si="2"/>
        <v>20</v>
      </c>
      <c r="H23" s="17" t="str">
        <f t="shared" si="3"/>
        <v>Standard</v>
      </c>
    </row>
    <row r="24" spans="1:8" x14ac:dyDescent="0.3">
      <c r="A24" s="17" t="str">
        <f t="shared" si="0"/>
        <v>CUST019</v>
      </c>
      <c r="B24" s="17" t="str">
        <f>IFERROR(INDEX(Dataset!$B$2:$B$201,MATCH(A24,Dataset!$A$2:$A$201,0)),"")</f>
        <v>James Davis</v>
      </c>
      <c r="C24" s="8">
        <f>SUMIF(Dataset!$A$2:$A$201,A24,Dataset!$E$2:$E$201)</f>
        <v>4640.1099999999997</v>
      </c>
      <c r="D24" s="8">
        <f>SUMIF(Dataset!$A$2:$A$201,A24,Dataset!$I$2:$I$201)</f>
        <v>1721.12</v>
      </c>
      <c r="E24" s="17">
        <f>COUNTIF(Dataset!$A$2:$A$201,A24)</f>
        <v>5</v>
      </c>
      <c r="F24" s="8">
        <f t="shared" si="1"/>
        <v>928.02199999999993</v>
      </c>
      <c r="G24" s="17">
        <f t="shared" si="2"/>
        <v>21</v>
      </c>
      <c r="H24" s="17" t="str">
        <f t="shared" si="3"/>
        <v>Standard</v>
      </c>
    </row>
    <row r="25" spans="1:8" x14ac:dyDescent="0.3">
      <c r="A25" s="17" t="str">
        <f t="shared" si="0"/>
        <v>CUST020</v>
      </c>
      <c r="B25" s="17" t="str">
        <f>IFERROR(INDEX(Dataset!$B$2:$B$201,MATCH(A25,Dataset!$A$2:$A$201,0)),"")</f>
        <v>David Brown</v>
      </c>
      <c r="C25" s="8">
        <f>SUMIF(Dataset!$A$2:$A$201,A25,Dataset!$E$2:$E$201)</f>
        <v>4413.71</v>
      </c>
      <c r="D25" s="8">
        <f>SUMIF(Dataset!$A$2:$A$201,A25,Dataset!$I$2:$I$201)</f>
        <v>1664.79</v>
      </c>
      <c r="E25" s="17">
        <f>COUNTIF(Dataset!$A$2:$A$201,A25)</f>
        <v>4</v>
      </c>
      <c r="F25" s="8">
        <f t="shared" si="1"/>
        <v>1103.4275</v>
      </c>
      <c r="G25" s="17">
        <f t="shared" si="2"/>
        <v>23</v>
      </c>
      <c r="H25" s="17" t="str">
        <f t="shared" si="3"/>
        <v>Standard</v>
      </c>
    </row>
    <row r="26" spans="1:8" x14ac:dyDescent="0.3">
      <c r="A26" s="17" t="str">
        <f t="shared" si="0"/>
        <v>CUST021</v>
      </c>
      <c r="B26" s="17" t="str">
        <f>IFERROR(INDEX(Dataset!$B$2:$B$201,MATCH(A26,Dataset!$A$2:$A$201,0)),"")</f>
        <v>Sarah Anderson</v>
      </c>
      <c r="C26" s="8">
        <f>SUMIF(Dataset!$A$2:$A$201,A26,Dataset!$E$2:$E$201)</f>
        <v>8740.18</v>
      </c>
      <c r="D26" s="8">
        <f>SUMIF(Dataset!$A$2:$A$201,A26,Dataset!$I$2:$I$201)</f>
        <v>2848.62</v>
      </c>
      <c r="E26" s="17">
        <f>COUNTIF(Dataset!$A$2:$A$201,A26)</f>
        <v>8</v>
      </c>
      <c r="F26" s="8">
        <f t="shared" si="1"/>
        <v>1092.5225</v>
      </c>
      <c r="G26" s="17">
        <f t="shared" si="2"/>
        <v>6</v>
      </c>
      <c r="H26" s="17" t="str">
        <f t="shared" si="3"/>
        <v>High-Value</v>
      </c>
    </row>
    <row r="27" spans="1:8" x14ac:dyDescent="0.3">
      <c r="A27" s="17" t="str">
        <f t="shared" si="0"/>
        <v>CUST022</v>
      </c>
      <c r="B27" s="17" t="str">
        <f>IFERROR(INDEX(Dataset!$B$2:$B$201,MATCH(A27,Dataset!$A$2:$A$201,0)),"")</f>
        <v>Robert Anderson</v>
      </c>
      <c r="C27" s="8">
        <f>SUMIF(Dataset!$A$2:$A$201,A27,Dataset!$E$2:$E$201)</f>
        <v>4418.2800000000007</v>
      </c>
      <c r="D27" s="8">
        <f>SUMIF(Dataset!$A$2:$A$201,A27,Dataset!$I$2:$I$201)</f>
        <v>1605.23</v>
      </c>
      <c r="E27" s="17">
        <f>COUNTIF(Dataset!$A$2:$A$201,A27)</f>
        <v>5</v>
      </c>
      <c r="F27" s="8">
        <f t="shared" si="1"/>
        <v>883.65600000000018</v>
      </c>
      <c r="G27" s="17">
        <f t="shared" si="2"/>
        <v>22</v>
      </c>
      <c r="H27" s="17" t="str">
        <f t="shared" si="3"/>
        <v>Standard</v>
      </c>
    </row>
    <row r="28" spans="1:8" x14ac:dyDescent="0.3">
      <c r="A28" s="17" t="str">
        <f t="shared" si="0"/>
        <v>CUST023</v>
      </c>
      <c r="B28" s="17" t="str">
        <f>IFERROR(INDEX(Dataset!$B$2:$B$201,MATCH(A28,Dataset!$A$2:$A$201,0)),"")</f>
        <v>Robert Anderson</v>
      </c>
      <c r="C28" s="8">
        <f>SUMIF(Dataset!$A$2:$A$201,A28,Dataset!$E$2:$E$201)</f>
        <v>5913.68</v>
      </c>
      <c r="D28" s="8">
        <f>SUMIF(Dataset!$A$2:$A$201,A28,Dataset!$I$2:$I$201)</f>
        <v>2198.62</v>
      </c>
      <c r="E28" s="17">
        <f>COUNTIF(Dataset!$A$2:$A$201,A28)</f>
        <v>7</v>
      </c>
      <c r="F28" s="8">
        <f t="shared" si="1"/>
        <v>844.81142857142856</v>
      </c>
      <c r="G28" s="17">
        <f t="shared" si="2"/>
        <v>18</v>
      </c>
      <c r="H28" s="17" t="str">
        <f t="shared" si="3"/>
        <v>Standard</v>
      </c>
    </row>
    <row r="29" spans="1:8" x14ac:dyDescent="0.3">
      <c r="A29" s="17" t="str">
        <f t="shared" si="0"/>
        <v>CUST024</v>
      </c>
      <c r="B29" s="17" t="str">
        <f>IFERROR(INDEX(Dataset!$B$2:$B$201,MATCH(A29,Dataset!$A$2:$A$201,0)),"")</f>
        <v>David Brown</v>
      </c>
      <c r="C29" s="8">
        <f>SUMIF(Dataset!$A$2:$A$201,A29,Dataset!$E$2:$E$201)</f>
        <v>7583.1299999999992</v>
      </c>
      <c r="D29" s="8">
        <f>SUMIF(Dataset!$A$2:$A$201,A29,Dataset!$I$2:$I$201)</f>
        <v>2492.1</v>
      </c>
      <c r="E29" s="17">
        <f>COUNTIF(Dataset!$A$2:$A$201,A29)</f>
        <v>7</v>
      </c>
      <c r="F29" s="8">
        <f t="shared" si="1"/>
        <v>1083.3042857142857</v>
      </c>
      <c r="G29" s="17">
        <f t="shared" si="2"/>
        <v>11</v>
      </c>
      <c r="H29" s="17" t="str">
        <f t="shared" si="3"/>
        <v>Standard</v>
      </c>
    </row>
    <row r="30" spans="1:8" x14ac:dyDescent="0.3">
      <c r="A30" s="17" t="str">
        <f t="shared" si="0"/>
        <v>CUST025</v>
      </c>
      <c r="B30" s="17" t="str">
        <f>IFERROR(INDEX(Dataset!$B$2:$B$201,MATCH(A30,Dataset!$A$2:$A$201,0)),"")</f>
        <v>David Brown</v>
      </c>
      <c r="C30" s="8">
        <f>SUMIF(Dataset!$A$2:$A$201,A30,Dataset!$E$2:$E$201)</f>
        <v>6716.52</v>
      </c>
      <c r="D30" s="8">
        <f>SUMIF(Dataset!$A$2:$A$201,A30,Dataset!$I$2:$I$201)</f>
        <v>2327.84</v>
      </c>
      <c r="E30" s="17">
        <f>COUNTIF(Dataset!$A$2:$A$201,A30)</f>
        <v>6</v>
      </c>
      <c r="F30" s="8">
        <f t="shared" si="1"/>
        <v>1119.42</v>
      </c>
      <c r="G30" s="17">
        <f t="shared" si="2"/>
        <v>13</v>
      </c>
      <c r="H30" s="17" t="str">
        <f t="shared" si="3"/>
        <v>Standard</v>
      </c>
    </row>
    <row r="31" spans="1:8" x14ac:dyDescent="0.3">
      <c r="A31" s="17" t="str">
        <f t="shared" si="0"/>
        <v>CUST026</v>
      </c>
      <c r="B31" s="17" t="str">
        <f>IFERROR(INDEX(Dataset!$B$2:$B$201,MATCH(A31,Dataset!$A$2:$A$201,0)),"")</f>
        <v>Mary Davis</v>
      </c>
      <c r="C31" s="8">
        <f>SUMIF(Dataset!$A$2:$A$201,A31,Dataset!$E$2:$E$201)</f>
        <v>9371.81</v>
      </c>
      <c r="D31" s="8">
        <f>SUMIF(Dataset!$A$2:$A$201,A31,Dataset!$I$2:$I$201)</f>
        <v>2922.0199999999995</v>
      </c>
      <c r="E31" s="17">
        <f>COUNTIF(Dataset!$A$2:$A$201,A31)</f>
        <v>9</v>
      </c>
      <c r="F31" s="8">
        <f t="shared" si="1"/>
        <v>1041.3122222222221</v>
      </c>
      <c r="G31" s="17">
        <f t="shared" si="2"/>
        <v>5</v>
      </c>
      <c r="H31" s="17" t="str">
        <f t="shared" si="3"/>
        <v>High-Value</v>
      </c>
    </row>
    <row r="32" spans="1:8" x14ac:dyDescent="0.3">
      <c r="A32" s="17" t="str">
        <f t="shared" si="0"/>
        <v>CUST027</v>
      </c>
      <c r="B32" s="17" t="str">
        <f>IFERROR(INDEX(Dataset!$B$2:$B$201,MATCH(A32,Dataset!$A$2:$A$201,0)),"")</f>
        <v>Emma Davis</v>
      </c>
      <c r="C32" s="8">
        <f>SUMIF(Dataset!$A$2:$A$201,A32,Dataset!$E$2:$E$201)</f>
        <v>3906.04</v>
      </c>
      <c r="D32" s="8">
        <f>SUMIF(Dataset!$A$2:$A$201,A32,Dataset!$I$2:$I$201)</f>
        <v>1240.6500000000001</v>
      </c>
      <c r="E32" s="17">
        <f>COUNTIF(Dataset!$A$2:$A$201,A32)</f>
        <v>5</v>
      </c>
      <c r="F32" s="8">
        <f t="shared" si="1"/>
        <v>781.20799999999997</v>
      </c>
      <c r="G32" s="17">
        <f t="shared" si="2"/>
        <v>26</v>
      </c>
      <c r="H32" s="17" t="str">
        <f t="shared" si="3"/>
        <v>Standard</v>
      </c>
    </row>
    <row r="33" spans="1:8" x14ac:dyDescent="0.3">
      <c r="A33" s="17" t="str">
        <f t="shared" si="0"/>
        <v>CUST028</v>
      </c>
      <c r="B33" s="17" t="str">
        <f>IFERROR(INDEX(Dataset!$B$2:$B$201,MATCH(A33,Dataset!$A$2:$A$201,0)),"")</f>
        <v>Linda Taylor</v>
      </c>
      <c r="C33" s="8">
        <f>SUMIF(Dataset!$A$2:$A$201,A33,Dataset!$E$2:$E$201)</f>
        <v>10293.870000000001</v>
      </c>
      <c r="D33" s="8">
        <f>SUMIF(Dataset!$A$2:$A$201,A33,Dataset!$I$2:$I$201)</f>
        <v>3541.02</v>
      </c>
      <c r="E33" s="17">
        <f>COUNTIF(Dataset!$A$2:$A$201,A33)</f>
        <v>12</v>
      </c>
      <c r="F33" s="8">
        <f t="shared" si="1"/>
        <v>857.8225000000001</v>
      </c>
      <c r="G33" s="17">
        <f t="shared" si="2"/>
        <v>2</v>
      </c>
      <c r="H33" s="17" t="str">
        <f t="shared" si="3"/>
        <v>High-Value</v>
      </c>
    </row>
    <row r="34" spans="1:8" x14ac:dyDescent="0.3">
      <c r="A34" s="17" t="str">
        <f t="shared" si="0"/>
        <v>CUST029</v>
      </c>
      <c r="B34" s="17" t="str">
        <f>IFERROR(INDEX(Dataset!$B$2:$B$201,MATCH(A34,Dataset!$A$2:$A$201,0)),"")</f>
        <v>David Smith</v>
      </c>
      <c r="C34" s="8">
        <f>SUMIF(Dataset!$A$2:$A$201,A34,Dataset!$E$2:$E$201)</f>
        <v>5779.05</v>
      </c>
      <c r="D34" s="8">
        <f>SUMIF(Dataset!$A$2:$A$201,A34,Dataset!$I$2:$I$201)</f>
        <v>1611.6599999999999</v>
      </c>
      <c r="E34" s="17">
        <f>COUNTIF(Dataset!$A$2:$A$201,A34)</f>
        <v>7</v>
      </c>
      <c r="F34" s="8">
        <f t="shared" si="1"/>
        <v>825.57857142857142</v>
      </c>
      <c r="G34" s="17">
        <f t="shared" si="2"/>
        <v>19</v>
      </c>
      <c r="H34" s="17" t="str">
        <f t="shared" si="3"/>
        <v>Standard</v>
      </c>
    </row>
    <row r="35" spans="1:8" x14ac:dyDescent="0.3">
      <c r="A35" s="17" t="str">
        <f t="shared" si="0"/>
        <v>CUST030</v>
      </c>
      <c r="B35" s="17" t="str">
        <f>IFERROR(INDEX(Dataset!$B$2:$B$201,MATCH(A35,Dataset!$A$2:$A$201,0)),"")</f>
        <v>James Wilson</v>
      </c>
      <c r="C35" s="8">
        <f>SUMIF(Dataset!$A$2:$A$201,A35,Dataset!$E$2:$E$201)</f>
        <v>7928.71</v>
      </c>
      <c r="D35" s="8">
        <f>SUMIF(Dataset!$A$2:$A$201,A35,Dataset!$I$2:$I$201)</f>
        <v>2965.4799999999996</v>
      </c>
      <c r="E35" s="17">
        <f>COUNTIF(Dataset!$A$2:$A$201,A35)</f>
        <v>9</v>
      </c>
      <c r="F35" s="8">
        <f t="shared" si="1"/>
        <v>880.96777777777777</v>
      </c>
      <c r="G35" s="17">
        <f t="shared" si="2"/>
        <v>9</v>
      </c>
      <c r="H35" s="17" t="str">
        <f t="shared" si="3"/>
        <v>High-Value</v>
      </c>
    </row>
    <row r="37" spans="1:8" x14ac:dyDescent="0.3">
      <c r="A37" s="12" t="s">
        <v>98</v>
      </c>
    </row>
    <row r="38" spans="1:8" ht="27.6" x14ac:dyDescent="0.3">
      <c r="A38" s="5" t="s">
        <v>90</v>
      </c>
      <c r="B38" s="5" t="s">
        <v>2</v>
      </c>
      <c r="C38" s="5" t="s">
        <v>3</v>
      </c>
      <c r="D38" s="5" t="s">
        <v>91</v>
      </c>
      <c r="E38" s="5" t="s">
        <v>93</v>
      </c>
    </row>
    <row r="39" spans="1:8" x14ac:dyDescent="0.3">
      <c r="A39" s="9">
        <v>1</v>
      </c>
      <c r="B39" s="9" t="str">
        <f t="shared" ref="B39:B48" si="4">INDEX($A$6:$A$35,MATCH(D39,$C$6:$C$35,0))</f>
        <v>CUST015</v>
      </c>
      <c r="C39" s="9" t="str">
        <f t="shared" ref="C39:C48" si="5">INDEX($B$6:$B$35,MATCH(D39,$C$6:$C$35,0))</f>
        <v>Linda Taylor</v>
      </c>
      <c r="D39" s="8">
        <f t="shared" ref="D39:D48" si="6">LARGE($C$6:$C$35,A39)</f>
        <v>11611.060000000001</v>
      </c>
      <c r="E39" s="8">
        <f t="shared" ref="E39:E48" si="7">INDEX($D$6:$D$35,MATCH(D39,$C$6:$C$35,0))</f>
        <v>4201.59</v>
      </c>
    </row>
    <row r="40" spans="1:8" x14ac:dyDescent="0.3">
      <c r="A40" s="9">
        <v>2</v>
      </c>
      <c r="B40" s="9" t="str">
        <f t="shared" si="4"/>
        <v>CUST028</v>
      </c>
      <c r="C40" s="9" t="str">
        <f t="shared" si="5"/>
        <v>Linda Taylor</v>
      </c>
      <c r="D40" s="8">
        <f t="shared" si="6"/>
        <v>10293.870000000001</v>
      </c>
      <c r="E40" s="8">
        <f t="shared" si="7"/>
        <v>3541.02</v>
      </c>
    </row>
    <row r="41" spans="1:8" x14ac:dyDescent="0.3">
      <c r="A41" s="9">
        <v>3</v>
      </c>
      <c r="B41" s="9" t="str">
        <f t="shared" si="4"/>
        <v>CUST007</v>
      </c>
      <c r="C41" s="9" t="str">
        <f t="shared" si="5"/>
        <v>Michael Anderson</v>
      </c>
      <c r="D41" s="8">
        <f t="shared" si="6"/>
        <v>9941.8799999999992</v>
      </c>
      <c r="E41" s="8">
        <f t="shared" si="7"/>
        <v>3936.2599999999998</v>
      </c>
    </row>
    <row r="42" spans="1:8" x14ac:dyDescent="0.3">
      <c r="A42" s="9">
        <v>4</v>
      </c>
      <c r="B42" s="9" t="str">
        <f t="shared" si="4"/>
        <v>CUST008</v>
      </c>
      <c r="C42" s="9" t="str">
        <f t="shared" si="5"/>
        <v>Robert Anderson</v>
      </c>
      <c r="D42" s="8">
        <f t="shared" si="6"/>
        <v>9760.7999999999993</v>
      </c>
      <c r="E42" s="8">
        <f t="shared" si="7"/>
        <v>3442.48</v>
      </c>
    </row>
    <row r="43" spans="1:8" x14ac:dyDescent="0.3">
      <c r="A43" s="9">
        <v>5</v>
      </c>
      <c r="B43" s="9" t="str">
        <f t="shared" si="4"/>
        <v>CUST026</v>
      </c>
      <c r="C43" s="9" t="str">
        <f t="shared" si="5"/>
        <v>Mary Davis</v>
      </c>
      <c r="D43" s="8">
        <f t="shared" si="6"/>
        <v>9371.81</v>
      </c>
      <c r="E43" s="8">
        <f t="shared" si="7"/>
        <v>2922.0199999999995</v>
      </c>
    </row>
    <row r="44" spans="1:8" x14ac:dyDescent="0.3">
      <c r="A44" s="9">
        <v>6</v>
      </c>
      <c r="B44" s="9" t="str">
        <f t="shared" si="4"/>
        <v>CUST021</v>
      </c>
      <c r="C44" s="9" t="str">
        <f t="shared" si="5"/>
        <v>Sarah Anderson</v>
      </c>
      <c r="D44" s="8">
        <f t="shared" si="6"/>
        <v>8740.18</v>
      </c>
      <c r="E44" s="8">
        <f t="shared" si="7"/>
        <v>2848.62</v>
      </c>
    </row>
    <row r="45" spans="1:8" x14ac:dyDescent="0.3">
      <c r="A45" s="9">
        <v>7</v>
      </c>
      <c r="B45" s="9" t="str">
        <f t="shared" si="4"/>
        <v>CUST003</v>
      </c>
      <c r="C45" s="9" t="str">
        <f t="shared" si="5"/>
        <v>Emma Davis</v>
      </c>
      <c r="D45" s="8">
        <f t="shared" si="6"/>
        <v>8490.18</v>
      </c>
      <c r="E45" s="8">
        <f t="shared" si="7"/>
        <v>2652.75</v>
      </c>
    </row>
    <row r="46" spans="1:8" x14ac:dyDescent="0.3">
      <c r="A46" s="9">
        <v>8</v>
      </c>
      <c r="B46" s="9" t="str">
        <f t="shared" si="4"/>
        <v>CUST012</v>
      </c>
      <c r="C46" s="9" t="str">
        <f t="shared" si="5"/>
        <v>Robert Anderson</v>
      </c>
      <c r="D46" s="8">
        <f t="shared" si="6"/>
        <v>8339</v>
      </c>
      <c r="E46" s="8">
        <f t="shared" si="7"/>
        <v>2988.7100000000005</v>
      </c>
    </row>
    <row r="47" spans="1:8" x14ac:dyDescent="0.3">
      <c r="A47" s="9">
        <v>9</v>
      </c>
      <c r="B47" s="9" t="str">
        <f t="shared" si="4"/>
        <v>CUST030</v>
      </c>
      <c r="C47" s="9" t="str">
        <f t="shared" si="5"/>
        <v>James Wilson</v>
      </c>
      <c r="D47" s="8">
        <f t="shared" si="6"/>
        <v>7928.71</v>
      </c>
      <c r="E47" s="8">
        <f t="shared" si="7"/>
        <v>2965.4799999999996</v>
      </c>
    </row>
    <row r="48" spans="1:8" x14ac:dyDescent="0.3">
      <c r="A48" s="9">
        <v>10</v>
      </c>
      <c r="B48" s="9" t="str">
        <f t="shared" si="4"/>
        <v>CUST004</v>
      </c>
      <c r="C48" s="9" t="str">
        <f t="shared" si="5"/>
        <v>Lisa Thomas</v>
      </c>
      <c r="D48" s="8">
        <f t="shared" si="6"/>
        <v>7813.59</v>
      </c>
      <c r="E48" s="8">
        <f t="shared" si="7"/>
        <v>3211.82</v>
      </c>
    </row>
  </sheetData>
  <mergeCells count="2">
    <mergeCell ref="A1:F1"/>
    <mergeCell ref="A3:H3"/>
  </mergeCells>
  <conditionalFormatting sqref="A6:H35">
    <cfRule type="expression" dxfId="0" priority="2">
      <formula>$G6&lt;=10</formula>
    </cfRule>
  </conditionalFormatting>
  <conditionalFormatting sqref="C6:C35">
    <cfRule type="dataBar" priority="3">
      <dataBar>
        <cfvo type="min"/>
        <cfvo type="max"/>
        <color rgb="FF638EC6"/>
      </dataBar>
      <extLst>
        <ext xmlns:x14="http://schemas.microsoft.com/office/spreadsheetml/2009/9/main" uri="{B025F937-C7B1-47D3-B67F-A62EFF666E3E}">
          <x14:id>{30443DCB-FEB1-4AFB-9E75-F53291931EFD}</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30443DCB-FEB1-4AFB-9E75-F53291931EFD}">
            <x14:dataBar axisPosition="none">
              <x14:cfvo type="min"/>
              <x14:cfvo type="max"/>
              <x14:negativeFillColor rgb="FF638EC6"/>
            </x14:dataBar>
          </x14:cfRule>
          <xm:sqref>C6:C35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8"/>
  <sheetViews>
    <sheetView showGridLines="0" zoomScaleNormal="100" workbookViewId="0">
      <selection activeCell="F24" sqref="F24"/>
    </sheetView>
  </sheetViews>
  <sheetFormatPr defaultColWidth="8.6640625" defaultRowHeight="14.4" x14ac:dyDescent="0.3"/>
  <cols>
    <col min="1" max="1" width="13" customWidth="1"/>
    <col min="2" max="2" width="12" customWidth="1"/>
    <col min="3" max="4" width="14" customWidth="1"/>
    <col min="5" max="5" width="12" customWidth="1"/>
    <col min="6" max="6" width="31.6640625" customWidth="1"/>
  </cols>
  <sheetData>
    <row r="1" spans="1:10" ht="21" x14ac:dyDescent="0.4">
      <c r="A1" s="36" t="s">
        <v>99</v>
      </c>
      <c r="B1" s="36"/>
      <c r="C1" s="36"/>
      <c r="D1" s="36"/>
      <c r="E1" s="36"/>
      <c r="F1" s="36"/>
      <c r="I1" s="18" t="s">
        <v>100</v>
      </c>
      <c r="J1" s="18">
        <f>EOMONTH(MAX(Dataset!$H$2:$H$201),-1)+1</f>
        <v>45748</v>
      </c>
    </row>
    <row r="3" spans="1:10" ht="27.6" x14ac:dyDescent="0.3">
      <c r="A3" s="5" t="s">
        <v>101</v>
      </c>
      <c r="B3" s="5" t="s">
        <v>102</v>
      </c>
      <c r="C3" s="5" t="s">
        <v>91</v>
      </c>
      <c r="D3" s="5" t="s">
        <v>93</v>
      </c>
      <c r="E3" s="5" t="s">
        <v>94</v>
      </c>
      <c r="F3" s="5" t="s">
        <v>103</v>
      </c>
    </row>
    <row r="4" spans="1:10" x14ac:dyDescent="0.3">
      <c r="A4" s="19">
        <f>EOMONTH(MIN(Dataset!$H$2:$H$201),-1)+1</f>
        <v>45383</v>
      </c>
      <c r="B4" s="9" t="str">
        <f t="shared" ref="B4:B18" si="0">IF(A4="","",TEXT(A4,"MMM-YYYY"))</f>
        <v>Apr-2024</v>
      </c>
      <c r="C4" s="8">
        <f>IF(A4="","",SUMIFS(Dataset!$E$2:$E$201,Dataset!$H$2:$H$201,"&gt;="&amp;A4,Dataset!$H$2:$H$201,"&lt;"&amp;EDATE(A4,1)))</f>
        <v>19029.96</v>
      </c>
      <c r="D4" s="8">
        <f>IF(A4="","",SUMIFS(Dataset!$I$2:$I$201,Dataset!$H$2:$H$201,"&gt;="&amp;A4,Dataset!$H$2:$H$201,"&lt;"&amp;EDATE(A4,1)))</f>
        <v>6244.01</v>
      </c>
      <c r="E4" s="9">
        <f>IF(A4="","",COUNTIFS(Dataset!$H$2:$H$201,"&gt;="&amp;A4,Dataset!$H$2:$H$201,"&lt;"&amp;EDATE(A4,1)))</f>
        <v>19</v>
      </c>
      <c r="F4" s="20" t="str">
        <f>""</f>
        <v/>
      </c>
    </row>
    <row r="5" spans="1:10" x14ac:dyDescent="0.3">
      <c r="A5" s="19">
        <f t="shared" ref="A5:A18" si="1">IF(A4="","",IF(A4&gt;=$J$1,"",EDATE(A4,1)))</f>
        <v>45413</v>
      </c>
      <c r="B5" s="9" t="str">
        <f t="shared" si="0"/>
        <v>May-2024</v>
      </c>
      <c r="C5" s="8">
        <f>IF(A5="","",SUMIFS(Dataset!$E$2:$E$201,Dataset!$H$2:$H$201,"&gt;="&amp;A5,Dataset!$H$2:$H$201,"&lt;"&amp;EDATE(A5,1)))</f>
        <v>18507.339999999997</v>
      </c>
      <c r="D5" s="8">
        <f>IF(A5="","",SUMIFS(Dataset!$I$2:$I$201,Dataset!$H$2:$H$201,"&gt;="&amp;A5,Dataset!$H$2:$H$201,"&lt;"&amp;EDATE(A5,1)))</f>
        <v>6121.3499999999995</v>
      </c>
      <c r="E5" s="9">
        <f>IF(A5="","",COUNTIFS(Dataset!$H$2:$H$201,"&gt;="&amp;A5,Dataset!$H$2:$H$201,"&lt;"&amp;EDATE(A5,1)))</f>
        <v>21</v>
      </c>
      <c r="F5" s="20">
        <f t="shared" ref="F5:F18" si="2">IF(OR(A5="",C4=0,C4=""),"",(C5-C4)/C4)</f>
        <v>-2.7463010957458799E-2</v>
      </c>
    </row>
    <row r="6" spans="1:10" x14ac:dyDescent="0.3">
      <c r="A6" s="19">
        <f t="shared" si="1"/>
        <v>45444</v>
      </c>
      <c r="B6" s="9" t="str">
        <f t="shared" si="0"/>
        <v>Jun-2024</v>
      </c>
      <c r="C6" s="8">
        <f>IF(A6="","",SUMIFS(Dataset!$E$2:$E$201,Dataset!$H$2:$H$201,"&gt;="&amp;A6,Dataset!$H$2:$H$201,"&lt;"&amp;EDATE(A6,1)))</f>
        <v>20187.509999999998</v>
      </c>
      <c r="D6" s="8">
        <f>IF(A6="","",SUMIFS(Dataset!$I$2:$I$201,Dataset!$H$2:$H$201,"&gt;="&amp;A6,Dataset!$H$2:$H$201,"&lt;"&amp;EDATE(A6,1)))</f>
        <v>6918</v>
      </c>
      <c r="E6" s="9">
        <f>IF(A6="","",COUNTIFS(Dataset!$H$2:$H$201,"&gt;="&amp;A6,Dataset!$H$2:$H$201,"&lt;"&amp;EDATE(A6,1)))</f>
        <v>20</v>
      </c>
      <c r="F6" s="20">
        <f t="shared" si="2"/>
        <v>9.0783980842195702E-2</v>
      </c>
    </row>
    <row r="7" spans="1:10" x14ac:dyDescent="0.3">
      <c r="A7" s="19">
        <f t="shared" si="1"/>
        <v>45474</v>
      </c>
      <c r="B7" s="9" t="str">
        <f t="shared" si="0"/>
        <v>Jul-2024</v>
      </c>
      <c r="C7" s="8">
        <f>IF(A7="","",SUMIFS(Dataset!$E$2:$E$201,Dataset!$H$2:$H$201,"&gt;="&amp;A7,Dataset!$H$2:$H$201,"&lt;"&amp;EDATE(A7,1)))</f>
        <v>11609.039999999999</v>
      </c>
      <c r="D7" s="8">
        <f>IF(A7="","",SUMIFS(Dataset!$I$2:$I$201,Dataset!$H$2:$H$201,"&gt;="&amp;A7,Dataset!$H$2:$H$201,"&lt;"&amp;EDATE(A7,1)))</f>
        <v>3743.85</v>
      </c>
      <c r="E7" s="9">
        <f>IF(A7="","",COUNTIFS(Dataset!$H$2:$H$201,"&gt;="&amp;A7,Dataset!$H$2:$H$201,"&lt;"&amp;EDATE(A7,1)))</f>
        <v>12</v>
      </c>
      <c r="F7" s="20">
        <f t="shared" si="2"/>
        <v>-0.42493947990614001</v>
      </c>
    </row>
    <row r="8" spans="1:10" x14ac:dyDescent="0.3">
      <c r="A8" s="19">
        <f t="shared" si="1"/>
        <v>45505</v>
      </c>
      <c r="B8" s="9" t="str">
        <f t="shared" si="0"/>
        <v>Aug-2024</v>
      </c>
      <c r="C8" s="8">
        <f>IF(A8="","",SUMIFS(Dataset!$E$2:$E$201,Dataset!$H$2:$H$201,"&gt;="&amp;A8,Dataset!$H$2:$H$201,"&lt;"&amp;EDATE(A8,1)))</f>
        <v>10091.699999999999</v>
      </c>
      <c r="D8" s="8">
        <f>IF(A8="","",SUMIFS(Dataset!$I$2:$I$201,Dataset!$H$2:$H$201,"&gt;="&amp;A8,Dataset!$H$2:$H$201,"&lt;"&amp;EDATE(A8,1)))</f>
        <v>3302.84</v>
      </c>
      <c r="E8" s="9">
        <f>IF(A8="","",COUNTIFS(Dataset!$H$2:$H$201,"&gt;="&amp;A8,Dataset!$H$2:$H$201,"&lt;"&amp;EDATE(A8,1)))</f>
        <v>10</v>
      </c>
      <c r="F8" s="20">
        <f t="shared" si="2"/>
        <v>-0.13070331396911375</v>
      </c>
    </row>
    <row r="9" spans="1:10" x14ac:dyDescent="0.3">
      <c r="A9" s="19">
        <f t="shared" si="1"/>
        <v>45536</v>
      </c>
      <c r="B9" s="9" t="str">
        <f t="shared" si="0"/>
        <v>Sep-2024</v>
      </c>
      <c r="C9" s="8">
        <f>IF(A9="","",SUMIFS(Dataset!$E$2:$E$201,Dataset!$H$2:$H$201,"&gt;="&amp;A9,Dataset!$H$2:$H$201,"&lt;"&amp;EDATE(A9,1)))</f>
        <v>20533.499999999996</v>
      </c>
      <c r="D9" s="8">
        <f>IF(A9="","",SUMIFS(Dataset!$I$2:$I$201,Dataset!$H$2:$H$201,"&gt;="&amp;A9,Dataset!$H$2:$H$201,"&lt;"&amp;EDATE(A9,1)))</f>
        <v>7457.5199999999995</v>
      </c>
      <c r="E9" s="9">
        <f>IF(A9="","",COUNTIFS(Dataset!$H$2:$H$201,"&gt;="&amp;A9,Dataset!$H$2:$H$201,"&lt;"&amp;EDATE(A9,1)))</f>
        <v>20</v>
      </c>
      <c r="F9" s="20">
        <f t="shared" si="2"/>
        <v>1.0346918755016496</v>
      </c>
    </row>
    <row r="10" spans="1:10" x14ac:dyDescent="0.3">
      <c r="A10" s="19">
        <f t="shared" si="1"/>
        <v>45566</v>
      </c>
      <c r="B10" s="9" t="str">
        <f t="shared" si="0"/>
        <v>Oct-2024</v>
      </c>
      <c r="C10" s="8">
        <f>IF(A10="","",SUMIFS(Dataset!$E$2:$E$201,Dataset!$H$2:$H$201,"&gt;="&amp;A10,Dataset!$H$2:$H$201,"&lt;"&amp;EDATE(A10,1)))</f>
        <v>14215.240000000002</v>
      </c>
      <c r="D10" s="8">
        <f>IF(A10="","",SUMIFS(Dataset!$I$2:$I$201,Dataset!$H$2:$H$201,"&gt;="&amp;A10,Dataset!$H$2:$H$201,"&lt;"&amp;EDATE(A10,1)))</f>
        <v>4861.7</v>
      </c>
      <c r="E10" s="9">
        <f>IF(A10="","",COUNTIFS(Dataset!$H$2:$H$201,"&gt;="&amp;A10,Dataset!$H$2:$H$201,"&lt;"&amp;EDATE(A10,1)))</f>
        <v>14</v>
      </c>
      <c r="F10" s="20">
        <f t="shared" si="2"/>
        <v>-0.30770496992719193</v>
      </c>
    </row>
    <row r="11" spans="1:10" x14ac:dyDescent="0.3">
      <c r="A11" s="19">
        <f t="shared" si="1"/>
        <v>45597</v>
      </c>
      <c r="B11" s="9" t="str">
        <f t="shared" si="0"/>
        <v>Nov-2024</v>
      </c>
      <c r="C11" s="8">
        <f>IF(A11="","",SUMIFS(Dataset!$E$2:$E$201,Dataset!$H$2:$H$201,"&gt;="&amp;A11,Dataset!$H$2:$H$201,"&lt;"&amp;EDATE(A11,1)))</f>
        <v>20135.030000000002</v>
      </c>
      <c r="D11" s="8">
        <f>IF(A11="","",SUMIFS(Dataset!$I$2:$I$201,Dataset!$H$2:$H$201,"&gt;="&amp;A11,Dataset!$H$2:$H$201,"&lt;"&amp;EDATE(A11,1)))</f>
        <v>6814.8799999999992</v>
      </c>
      <c r="E11" s="9">
        <f>IF(A11="","",COUNTIFS(Dataset!$H$2:$H$201,"&gt;="&amp;A11,Dataset!$H$2:$H$201,"&lt;"&amp;EDATE(A11,1)))</f>
        <v>20</v>
      </c>
      <c r="F11" s="20">
        <f t="shared" si="2"/>
        <v>0.4164396802305132</v>
      </c>
    </row>
    <row r="12" spans="1:10" x14ac:dyDescent="0.3">
      <c r="A12" s="19">
        <f t="shared" si="1"/>
        <v>45627</v>
      </c>
      <c r="B12" s="9" t="str">
        <f t="shared" si="0"/>
        <v>Dec-2024</v>
      </c>
      <c r="C12" s="8">
        <f>IF(A12="","",SUMIFS(Dataset!$E$2:$E$201,Dataset!$H$2:$H$201,"&gt;="&amp;A12,Dataset!$H$2:$H$201,"&lt;"&amp;EDATE(A12,1)))</f>
        <v>11120.04</v>
      </c>
      <c r="D12" s="8">
        <f>IF(A12="","",SUMIFS(Dataset!$I$2:$I$201,Dataset!$H$2:$H$201,"&gt;="&amp;A12,Dataset!$H$2:$H$201,"&lt;"&amp;EDATE(A12,1)))</f>
        <v>3549.99</v>
      </c>
      <c r="E12" s="9">
        <f>IF(A12="","",COUNTIFS(Dataset!$H$2:$H$201,"&gt;="&amp;A12,Dataset!$H$2:$H$201,"&lt;"&amp;EDATE(A12,1)))</f>
        <v>11</v>
      </c>
      <c r="F12" s="20">
        <f t="shared" si="2"/>
        <v>-0.44772667336477773</v>
      </c>
    </row>
    <row r="13" spans="1:10" x14ac:dyDescent="0.3">
      <c r="A13" s="19">
        <f t="shared" si="1"/>
        <v>45658</v>
      </c>
      <c r="B13" s="9" t="str">
        <f t="shared" si="0"/>
        <v>Jan-2025</v>
      </c>
      <c r="C13" s="8">
        <f>IF(A13="","",SUMIFS(Dataset!$E$2:$E$201,Dataset!$H$2:$H$201,"&gt;="&amp;A13,Dataset!$H$2:$H$201,"&lt;"&amp;EDATE(A13,1)))</f>
        <v>14914.650000000001</v>
      </c>
      <c r="D13" s="8">
        <f>IF(A13="","",SUMIFS(Dataset!$I$2:$I$201,Dataset!$H$2:$H$201,"&gt;="&amp;A13,Dataset!$H$2:$H$201,"&lt;"&amp;EDATE(A13,1)))</f>
        <v>5763.4</v>
      </c>
      <c r="E13" s="9">
        <f>IF(A13="","",COUNTIFS(Dataset!$H$2:$H$201,"&gt;="&amp;A13,Dataset!$H$2:$H$201,"&lt;"&amp;EDATE(A13,1)))</f>
        <v>16</v>
      </c>
      <c r="F13" s="20">
        <f t="shared" si="2"/>
        <v>0.34124067899036337</v>
      </c>
    </row>
    <row r="14" spans="1:10" x14ac:dyDescent="0.3">
      <c r="A14" s="19">
        <f t="shared" si="1"/>
        <v>45689</v>
      </c>
      <c r="B14" s="9" t="str">
        <f t="shared" si="0"/>
        <v>Feb-2025</v>
      </c>
      <c r="C14" s="8">
        <f>IF(A14="","",SUMIFS(Dataset!$E$2:$E$201,Dataset!$H$2:$H$201,"&gt;="&amp;A14,Dataset!$H$2:$H$201,"&lt;"&amp;EDATE(A14,1)))</f>
        <v>14006.359999999999</v>
      </c>
      <c r="D14" s="8">
        <f>IF(A14="","",SUMIFS(Dataset!$I$2:$I$201,Dataset!$H$2:$H$201,"&gt;="&amp;A14,Dataset!$H$2:$H$201,"&lt;"&amp;EDATE(A14,1)))</f>
        <v>5039.2299999999996</v>
      </c>
      <c r="E14" s="9">
        <f>IF(A14="","",COUNTIFS(Dataset!$H$2:$H$201,"&gt;="&amp;A14,Dataset!$H$2:$H$201,"&lt;"&amp;EDATE(A14,1)))</f>
        <v>14</v>
      </c>
      <c r="F14" s="20">
        <f t="shared" si="2"/>
        <v>-6.0899183018039482E-2</v>
      </c>
    </row>
    <row r="15" spans="1:10" x14ac:dyDescent="0.3">
      <c r="A15" s="19">
        <f t="shared" si="1"/>
        <v>45717</v>
      </c>
      <c r="B15" s="9" t="str">
        <f t="shared" si="0"/>
        <v>Mar-2025</v>
      </c>
      <c r="C15" s="8">
        <f>IF(A15="","",SUMIFS(Dataset!$E$2:$E$201,Dataset!$H$2:$H$201,"&gt;="&amp;A15,Dataset!$H$2:$H$201,"&lt;"&amp;EDATE(A15,1)))</f>
        <v>17655.219999999998</v>
      </c>
      <c r="D15" s="8">
        <f>IF(A15="","",SUMIFS(Dataset!$I$2:$I$201,Dataset!$H$2:$H$201,"&gt;="&amp;A15,Dataset!$H$2:$H$201,"&lt;"&amp;EDATE(A15,1)))</f>
        <v>7071.39</v>
      </c>
      <c r="E15" s="9">
        <f>IF(A15="","",COUNTIFS(Dataset!$H$2:$H$201,"&gt;="&amp;A15,Dataset!$H$2:$H$201,"&lt;"&amp;EDATE(A15,1)))</f>
        <v>19</v>
      </c>
      <c r="F15" s="20">
        <f t="shared" si="2"/>
        <v>0.26051450912299834</v>
      </c>
    </row>
    <row r="16" spans="1:10" x14ac:dyDescent="0.3">
      <c r="A16" s="19">
        <f t="shared" si="1"/>
        <v>45748</v>
      </c>
      <c r="B16" s="9" t="str">
        <f t="shared" si="0"/>
        <v>Apr-2025</v>
      </c>
      <c r="C16" s="8">
        <f>IF(A16="","",SUMIFS(Dataset!$E$2:$E$201,Dataset!$H$2:$H$201,"&gt;="&amp;A16,Dataset!$H$2:$H$201,"&lt;"&amp;EDATE(A16,1)))</f>
        <v>3212.17</v>
      </c>
      <c r="D16" s="8">
        <f>IF(A16="","",SUMIFS(Dataset!$I$2:$I$201,Dataset!$H$2:$H$201,"&gt;="&amp;A16,Dataset!$H$2:$H$201,"&lt;"&amp;EDATE(A16,1)))</f>
        <v>1398.85</v>
      </c>
      <c r="E16" s="9">
        <f>IF(A16="","",COUNTIFS(Dataset!$H$2:$H$201,"&gt;="&amp;A16,Dataset!$H$2:$H$201,"&lt;"&amp;EDATE(A16,1)))</f>
        <v>4</v>
      </c>
      <c r="F16" s="20">
        <f t="shared" si="2"/>
        <v>-0.81806117397574196</v>
      </c>
    </row>
    <row r="17" spans="1:6" x14ac:dyDescent="0.3">
      <c r="A17" s="19" t="str">
        <f t="shared" si="1"/>
        <v/>
      </c>
      <c r="B17" s="9" t="str">
        <f t="shared" si="0"/>
        <v/>
      </c>
      <c r="C17" s="8" t="str">
        <f>IF(A17="","",SUMIFS(Dataset!$E$2:$E$201,Dataset!$H$2:$H$201,"&gt;="&amp;A17,Dataset!$H$2:$H$201,"&lt;"&amp;EDATE(A17,1)))</f>
        <v/>
      </c>
      <c r="D17" s="8" t="str">
        <f>IF(A17="","",SUMIFS(Dataset!$I$2:$I$201,Dataset!$H$2:$H$201,"&gt;="&amp;A17,Dataset!$H$2:$H$201,"&lt;"&amp;EDATE(A17,1)))</f>
        <v/>
      </c>
      <c r="E17" s="9" t="str">
        <f>IF(A17="","",COUNTIFS(Dataset!$H$2:$H$201,"&gt;="&amp;A17,Dataset!$H$2:$H$201,"&lt;"&amp;EDATE(A17,1)))</f>
        <v/>
      </c>
      <c r="F17" s="20" t="str">
        <f t="shared" si="2"/>
        <v/>
      </c>
    </row>
    <row r="18" spans="1:6" x14ac:dyDescent="0.3">
      <c r="A18" s="19" t="str">
        <f t="shared" si="1"/>
        <v/>
      </c>
      <c r="B18" s="9" t="str">
        <f t="shared" si="0"/>
        <v/>
      </c>
      <c r="C18" s="8" t="str">
        <f>IF(A18="","",SUMIFS(Dataset!$E$2:$E$201,Dataset!$H$2:$H$201,"&gt;="&amp;A18,Dataset!$H$2:$H$201,"&lt;"&amp;EDATE(A18,1)))</f>
        <v/>
      </c>
      <c r="D18" s="8" t="str">
        <f>IF(A18="","",SUMIFS(Dataset!$I$2:$I$201,Dataset!$H$2:$H$201,"&gt;="&amp;A18,Dataset!$H$2:$H$201,"&lt;"&amp;EDATE(A18,1)))</f>
        <v/>
      </c>
      <c r="E18" s="9" t="str">
        <f>IF(A18="","",COUNTIFS(Dataset!$H$2:$H$201,"&gt;="&amp;A18,Dataset!$H$2:$H$201,"&lt;"&amp;EDATE(A18,1)))</f>
        <v/>
      </c>
      <c r="F18" s="20" t="str">
        <f t="shared" si="2"/>
        <v/>
      </c>
    </row>
  </sheetData>
  <mergeCells count="1">
    <mergeCell ref="A1:F1"/>
  </mergeCells>
  <conditionalFormatting sqref="F4:F18">
    <cfRule type="iconSet" priority="2">
      <iconSet iconSet="3Arrows">
        <cfvo type="num" val="-100"/>
        <cfvo type="num" val="0"/>
        <cfvo type="num" val="9.9999999999999995E-7"/>
      </iconSet>
    </cfRule>
  </conditionalFormatting>
  <pageMargins left="0.75" right="0.75" top="1" bottom="1" header="0.511811023622047" footer="0.511811023622047"/>
  <pageSetup paperSize="9" orientation="portrait" horizontalDpi="300" verticalDpi="300"/>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2"/>
  <sheetViews>
    <sheetView showGridLines="0" zoomScaleNormal="100" workbookViewId="0">
      <selection activeCell="L22" sqref="L22"/>
    </sheetView>
  </sheetViews>
  <sheetFormatPr defaultColWidth="8.6640625" defaultRowHeight="14.4" x14ac:dyDescent="0.3"/>
  <cols>
    <col min="1" max="1" width="3" customWidth="1"/>
    <col min="2" max="2" width="30" customWidth="1"/>
    <col min="3" max="3" width="18" customWidth="1"/>
    <col min="4" max="5" width="20" customWidth="1"/>
  </cols>
  <sheetData>
    <row r="1" spans="1:6" ht="21" x14ac:dyDescent="0.4">
      <c r="A1" s="36" t="s">
        <v>104</v>
      </c>
      <c r="B1" s="36"/>
      <c r="C1" s="36"/>
      <c r="D1" s="36"/>
      <c r="E1" s="36"/>
      <c r="F1" s="36"/>
    </row>
    <row r="3" spans="1:6" x14ac:dyDescent="0.3">
      <c r="B3" s="16" t="s">
        <v>105</v>
      </c>
      <c r="C3" s="21">
        <f>AVERAGE(Dataset!$G$2:$G$201)</f>
        <v>9.7250000000000003E-2</v>
      </c>
    </row>
    <row r="4" spans="1:6" x14ac:dyDescent="0.3">
      <c r="B4" s="16" t="s">
        <v>106</v>
      </c>
      <c r="C4" s="22">
        <f>SUM(Dataset!$E$2:$E$201)</f>
        <v>195217.75999999992</v>
      </c>
    </row>
    <row r="5" spans="1:6" x14ac:dyDescent="0.3">
      <c r="B5" s="16" t="s">
        <v>107</v>
      </c>
      <c r="C5" s="22">
        <f>SUM(Dataset!$I$2:$I$201)</f>
        <v>68287.010000000009</v>
      </c>
    </row>
    <row r="6" spans="1:6" x14ac:dyDescent="0.3">
      <c r="B6" s="16"/>
      <c r="C6" s="23"/>
    </row>
    <row r="7" spans="1:6" x14ac:dyDescent="0.3">
      <c r="B7" s="16" t="s">
        <v>108</v>
      </c>
      <c r="C7" s="24">
        <v>0.1</v>
      </c>
    </row>
    <row r="8" spans="1:6" x14ac:dyDescent="0.3">
      <c r="B8" s="16" t="s">
        <v>109</v>
      </c>
      <c r="C8" s="22">
        <f>SUMPRODUCT(Dataset!$I$2:$I$201*(1-$C$7)/(1-Dataset!$G$2:$G$201))</f>
        <v>68151.770871517016</v>
      </c>
    </row>
    <row r="9" spans="1:6" x14ac:dyDescent="0.3">
      <c r="B9" s="16" t="s">
        <v>110</v>
      </c>
      <c r="C9" s="22">
        <f>C8-C5</f>
        <v>-135.23912848299369</v>
      </c>
    </row>
    <row r="10" spans="1:6" x14ac:dyDescent="0.3">
      <c r="B10" s="16" t="s">
        <v>111</v>
      </c>
      <c r="C10" s="21">
        <f>IFERROR(C9/C5,"")</f>
        <v>-1.9804517503840581E-3</v>
      </c>
    </row>
    <row r="13" spans="1:6" x14ac:dyDescent="0.3">
      <c r="B13" s="12" t="s">
        <v>112</v>
      </c>
    </row>
    <row r="14" spans="1:6" ht="27.6" x14ac:dyDescent="0.3">
      <c r="B14" s="5" t="s">
        <v>113</v>
      </c>
      <c r="C14" s="5" t="s">
        <v>93</v>
      </c>
      <c r="D14" s="5" t="s">
        <v>114</v>
      </c>
      <c r="E14" s="5" t="s">
        <v>115</v>
      </c>
    </row>
    <row r="15" spans="1:6" x14ac:dyDescent="0.3">
      <c r="B15" s="25">
        <v>0</v>
      </c>
      <c r="C15" s="8">
        <f>SUMPRODUCT(Dataset!$I$2:$I$201*(1-B15)/(1-Dataset!$G$2:$G$201))</f>
        <v>75724.189857241203</v>
      </c>
      <c r="D15" s="8">
        <f t="shared" ref="D15:D22" si="0">C15-$C$5</f>
        <v>7437.1798572411935</v>
      </c>
      <c r="E15" s="26">
        <f t="shared" ref="E15:E22" si="1">IFERROR(D15/$C$5,"")</f>
        <v>0.10891060916624103</v>
      </c>
    </row>
    <row r="16" spans="1:6" x14ac:dyDescent="0.3">
      <c r="B16" s="25">
        <v>0.05</v>
      </c>
      <c r="C16" s="8">
        <f>SUMPRODUCT(Dataset!$I$2:$I$201*(1-B16)/(1-Dataset!$G$2:$G$201))</f>
        <v>71937.980364379095</v>
      </c>
      <c r="D16" s="8">
        <f t="shared" si="0"/>
        <v>3650.9703643790854</v>
      </c>
      <c r="E16" s="26">
        <f t="shared" si="1"/>
        <v>5.3465078707928271E-2</v>
      </c>
    </row>
    <row r="17" spans="2:5" x14ac:dyDescent="0.3">
      <c r="B17" s="25">
        <v>0.1</v>
      </c>
      <c r="C17" s="8">
        <f>SUMPRODUCT(Dataset!$I$2:$I$201*(1-B17)/(1-Dataset!$G$2:$G$201))</f>
        <v>68151.770871517016</v>
      </c>
      <c r="D17" s="8">
        <f t="shared" si="0"/>
        <v>-135.23912848299369</v>
      </c>
      <c r="E17" s="26">
        <f t="shared" si="1"/>
        <v>-1.9804517503840581E-3</v>
      </c>
    </row>
    <row r="18" spans="2:5" x14ac:dyDescent="0.3">
      <c r="B18" s="25">
        <v>0.15</v>
      </c>
      <c r="C18" s="8">
        <f>SUMPRODUCT(Dataset!$I$2:$I$201*(1-B18)/(1-Dataset!$G$2:$G$201))</f>
        <v>64365.561378654958</v>
      </c>
      <c r="D18" s="8">
        <f t="shared" si="0"/>
        <v>-3921.4486213450509</v>
      </c>
      <c r="E18" s="26">
        <f t="shared" si="1"/>
        <v>-5.7425982208696068E-2</v>
      </c>
    </row>
    <row r="19" spans="2:5" x14ac:dyDescent="0.3">
      <c r="B19" s="25">
        <v>0.2</v>
      </c>
      <c r="C19" s="8">
        <f>SUMPRODUCT(Dataset!$I$2:$I$201*(1-B19)/(1-Dataset!$G$2:$G$201))</f>
        <v>60579.351885792894</v>
      </c>
      <c r="D19" s="8">
        <f t="shared" si="0"/>
        <v>-7707.6581142071154</v>
      </c>
      <c r="E19" s="26">
        <f t="shared" si="1"/>
        <v>-0.11287151266700818</v>
      </c>
    </row>
    <row r="20" spans="2:5" x14ac:dyDescent="0.3">
      <c r="B20" s="25">
        <v>0.25</v>
      </c>
      <c r="C20" s="8">
        <f>SUMPRODUCT(Dataset!$I$2:$I$201*(1-B20)/(1-Dataset!$G$2:$G$201))</f>
        <v>56793.142392930866</v>
      </c>
      <c r="D20" s="8">
        <f t="shared" si="0"/>
        <v>-11493.867607069144</v>
      </c>
      <c r="E20" s="26">
        <f t="shared" si="1"/>
        <v>-0.16831704312531975</v>
      </c>
    </row>
    <row r="21" spans="2:5" x14ac:dyDescent="0.3">
      <c r="B21" s="25">
        <v>0.3</v>
      </c>
      <c r="C21" s="8">
        <f>SUMPRODUCT(Dataset!$I$2:$I$201*(1-B21)/(1-Dataset!$G$2:$G$201))</f>
        <v>53006.932900068809</v>
      </c>
      <c r="D21" s="8">
        <f t="shared" si="0"/>
        <v>-15280.077099931201</v>
      </c>
      <c r="E21" s="26">
        <f t="shared" si="1"/>
        <v>-0.22376257358363177</v>
      </c>
    </row>
    <row r="22" spans="2:5" x14ac:dyDescent="0.3">
      <c r="B22" s="25">
        <v>0.35</v>
      </c>
      <c r="C22" s="8">
        <f>SUMPRODUCT(Dataset!$I$2:$I$201*(1-B22)/(1-Dataset!$G$2:$G$201))</f>
        <v>49220.723407206766</v>
      </c>
      <c r="D22" s="8">
        <f t="shared" si="0"/>
        <v>-19066.286592793243</v>
      </c>
      <c r="E22" s="26">
        <f t="shared" si="1"/>
        <v>-0.27920810404194357</v>
      </c>
    </row>
  </sheetData>
  <mergeCells count="1">
    <mergeCell ref="A1:F1"/>
  </mergeCells>
  <conditionalFormatting sqref="C15:C22">
    <cfRule type="dataBar" priority="2">
      <dataBar>
        <cfvo type="min"/>
        <cfvo type="max"/>
        <color rgb="FF70AD47"/>
      </dataBar>
      <extLst>
        <ext xmlns:x14="http://schemas.microsoft.com/office/spreadsheetml/2009/9/main" uri="{B025F937-C7B1-47D3-B67F-A62EFF666E3E}">
          <x14:id>{6F9925A0-CD38-4047-9738-67521110AEDB}</x14:id>
        </ext>
      </extLst>
    </cfRule>
  </conditionalFormatting>
  <pageMargins left="0.75" right="0.75" top="1" bottom="1" header="0.511811023622047" footer="0.511811023622047"/>
  <pageSetup paperSize="9" orientation="portrait" horizontalDpi="300" verticalDpi="300"/>
  <drawing r:id="rId1"/>
  <legacyDrawing r:id="rId2"/>
  <extLst>
    <ext xmlns:x14="http://schemas.microsoft.com/office/spreadsheetml/2009/9/main" uri="{78C0D931-6437-407d-A8EE-F0AAD7539E65}">
      <x14:conditionalFormattings>
        <x14:conditionalFormatting xmlns:xm="http://schemas.microsoft.com/office/excel/2006/main">
          <x14:cfRule type="dataBar" id="{6F9925A0-CD38-4047-9738-67521110AEDB}">
            <x14:dataBar axisPosition="none">
              <x14:cfvo type="min"/>
              <x14:cfvo type="max"/>
              <x14:negativeFillColor rgb="FF70AD47"/>
            </x14:dataBar>
          </x14:cfRule>
          <xm:sqref>C15:C22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showGridLines="0" zoomScaleNormal="100" workbookViewId="0">
      <selection activeCell="H4" sqref="H4:H5"/>
    </sheetView>
  </sheetViews>
  <sheetFormatPr defaultColWidth="8.6640625" defaultRowHeight="14.4" x14ac:dyDescent="0.3"/>
  <cols>
    <col min="1" max="1" width="3" customWidth="1"/>
    <col min="2" max="2" width="22" customWidth="1"/>
    <col min="3" max="4" width="16" customWidth="1"/>
    <col min="5" max="5" width="12" customWidth="1"/>
    <col min="6" max="6" width="40.21875" customWidth="1"/>
  </cols>
  <sheetData>
    <row r="1" spans="1:8" ht="21" x14ac:dyDescent="0.4">
      <c r="A1" s="36" t="s">
        <v>116</v>
      </c>
      <c r="B1" s="36"/>
      <c r="C1" s="36"/>
      <c r="D1" s="36"/>
      <c r="E1" s="36"/>
      <c r="F1" s="36"/>
    </row>
    <row r="3" spans="1:8" x14ac:dyDescent="0.3">
      <c r="B3" s="12" t="s">
        <v>117</v>
      </c>
    </row>
    <row r="4" spans="1:8" x14ac:dyDescent="0.3">
      <c r="B4" s="16" t="s">
        <v>118</v>
      </c>
      <c r="C4" s="27">
        <f>CORREL(Dataset!$I$2:$I$201,Dataset!$E$2:$E$201)</f>
        <v>0.77340306414342652</v>
      </c>
    </row>
    <row r="5" spans="1:8" x14ac:dyDescent="0.3">
      <c r="B5" s="16" t="s">
        <v>119</v>
      </c>
      <c r="C5" s="27">
        <f>RSQ(Dataset!$I$2:$I$201,Dataset!$E$2:$E$201)</f>
        <v>0.5981522996264409</v>
      </c>
    </row>
    <row r="6" spans="1:8" x14ac:dyDescent="0.3">
      <c r="B6" s="16" t="s">
        <v>120</v>
      </c>
      <c r="C6" s="27">
        <f>1-((1-C4)*(C7-1)/(C7-2))</f>
        <v>0.77071448289665867</v>
      </c>
    </row>
    <row r="7" spans="1:8" x14ac:dyDescent="0.3">
      <c r="B7" s="16" t="s">
        <v>121</v>
      </c>
      <c r="C7" s="27">
        <f>STEYX(Dataset!$I$2:$I$201,Dataset!$E$2:$E$201)</f>
        <v>86.281230529665095</v>
      </c>
    </row>
    <row r="8" spans="1:8" x14ac:dyDescent="0.3">
      <c r="B8" s="16" t="s">
        <v>122</v>
      </c>
      <c r="C8" s="28">
        <f>COUNT(Dataset!$E$2:$E$201)</f>
        <v>200</v>
      </c>
    </row>
    <row r="10" spans="1:8" x14ac:dyDescent="0.3">
      <c r="B10" s="12" t="s">
        <v>123</v>
      </c>
    </row>
    <row r="11" spans="1:8" x14ac:dyDescent="0.3">
      <c r="B11" s="5"/>
      <c r="C11" s="5" t="s">
        <v>124</v>
      </c>
      <c r="D11" s="5" t="s">
        <v>121</v>
      </c>
      <c r="E11" s="5" t="s">
        <v>125</v>
      </c>
      <c r="F11" s="5" t="s">
        <v>126</v>
      </c>
    </row>
    <row r="12" spans="1:8" x14ac:dyDescent="0.3">
      <c r="B12" s="16" t="s">
        <v>127</v>
      </c>
      <c r="C12" s="29">
        <f>INTERCEPT(Dataset!$I$2:$I$201,Dataset!$E$2:$E$201)</f>
        <v>-1.0315504901910799</v>
      </c>
      <c r="D12" s="29">
        <f>$C$6*SQRT(1/$C$7+AVERAGE(Dataset!$E$2:$E$201)^2/DEVSQ(Dataset!$E$2:$E$201))</f>
        <v>0.19656241900702848</v>
      </c>
      <c r="E12" s="29">
        <f>C12/D12</f>
        <v>-5.2479537818172393</v>
      </c>
      <c r="F12" s="29">
        <f>TDIST(ABS(E12),$C$7-2,2)</f>
        <v>1.1362067693283247E-6</v>
      </c>
    </row>
    <row r="13" spans="1:8" x14ac:dyDescent="0.3">
      <c r="B13" s="16" t="s">
        <v>128</v>
      </c>
      <c r="C13" s="29">
        <f>SLOPE(Dataset!$I$2:$I$201,Dataset!$E$2:$E$201)</f>
        <v>0.35085598819512248</v>
      </c>
      <c r="D13" s="29">
        <f>$C$6/SQRT(DEVSQ(Dataset!$E$2:$E$201))</f>
        <v>1.8255693816885088E-4</v>
      </c>
      <c r="E13" s="29">
        <f>C13/D13</f>
        <v>1921.8989522633653</v>
      </c>
      <c r="F13" s="29">
        <f>TDIST(ABS(E13),$C$7-2,2)</f>
        <v>8.4035296063159147E-197</v>
      </c>
    </row>
    <row r="16" spans="1:8" x14ac:dyDescent="0.3">
      <c r="B16" s="16" t="s">
        <v>129</v>
      </c>
      <c r="C16" s="38" t="str">
        <f>"Profit = "&amp;TEXT(C13,"0.0000")&amp;" x Sales + "&amp;TEXT(C12,"0.0000")</f>
        <v>Profit = 0.3509 x Sales + -1.0316</v>
      </c>
      <c r="D16" s="38"/>
      <c r="E16" s="38"/>
      <c r="F16" s="38"/>
      <c r="G16" s="38"/>
      <c r="H16" s="38"/>
    </row>
    <row r="18" spans="2:8" x14ac:dyDescent="0.3">
      <c r="B18" s="16" t="s">
        <v>130</v>
      </c>
      <c r="C18" s="39" t="str">
        <f>"For every $1 increase in Sales, Profit increases by approximately $"&amp;TEXT(C13,"0.00")&amp;" on average. The model explains "&amp;TEXT(C4,"0.0%")&amp;" of the variation in Profit (R Square)."</f>
        <v>For every $1 increase in Sales, Profit increases by approximately $0.35 on average. The model explains 77.3% of the variation in Profit (R Square).</v>
      </c>
      <c r="D18" s="39"/>
      <c r="E18" s="39"/>
      <c r="F18" s="39"/>
      <c r="G18" s="39"/>
      <c r="H18" s="39"/>
    </row>
    <row r="19" spans="2:8" x14ac:dyDescent="0.3">
      <c r="C19" s="39"/>
      <c r="D19" s="39"/>
      <c r="E19" s="39"/>
      <c r="F19" s="39"/>
      <c r="G19" s="39"/>
      <c r="H19" s="39"/>
    </row>
  </sheetData>
  <mergeCells count="3">
    <mergeCell ref="A1:F1"/>
    <mergeCell ref="C16:H16"/>
    <mergeCell ref="C18:H19"/>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showGridLines="0" tabSelected="1" zoomScaleNormal="100" workbookViewId="0">
      <selection activeCell="I11" sqref="I11"/>
    </sheetView>
  </sheetViews>
  <sheetFormatPr defaultColWidth="8.6640625" defaultRowHeight="14.4" x14ac:dyDescent="0.3"/>
  <cols>
    <col min="1" max="1" width="20" customWidth="1"/>
    <col min="2" max="2" width="16" customWidth="1"/>
    <col min="3" max="4" width="14" customWidth="1"/>
    <col min="5" max="5" width="24.6640625" customWidth="1"/>
  </cols>
  <sheetData>
    <row r="1" spans="1:6" ht="21" x14ac:dyDescent="0.4">
      <c r="A1" s="36" t="s">
        <v>131</v>
      </c>
      <c r="B1" s="36"/>
      <c r="C1" s="36"/>
      <c r="D1" s="36"/>
      <c r="E1" s="36"/>
      <c r="F1" s="36"/>
    </row>
    <row r="3" spans="1:6" x14ac:dyDescent="0.3">
      <c r="A3" s="5" t="s">
        <v>132</v>
      </c>
      <c r="B3" s="5" t="s">
        <v>6</v>
      </c>
      <c r="C3" s="5" t="s">
        <v>7</v>
      </c>
      <c r="D3" s="5" t="s">
        <v>8</v>
      </c>
      <c r="E3" s="5" t="s">
        <v>10</v>
      </c>
    </row>
    <row r="4" spans="1:6" x14ac:dyDescent="0.3">
      <c r="A4" s="30" t="s">
        <v>133</v>
      </c>
      <c r="B4" s="8">
        <f>AVERAGE(Dataset!$E$2:$E$201)</f>
        <v>976.08879999999965</v>
      </c>
      <c r="C4" s="29">
        <f>AVERAGE(Dataset!$F$2:$F$201)</f>
        <v>9.9949999999999992</v>
      </c>
      <c r="D4" s="31">
        <f>AVERAGE(Dataset!$G$2:$G$201)</f>
        <v>9.7250000000000003E-2</v>
      </c>
      <c r="E4" s="8">
        <f>AVERAGE(Dataset!$I$2:$I$201)</f>
        <v>341.43505000000005</v>
      </c>
    </row>
    <row r="5" spans="1:6" x14ac:dyDescent="0.3">
      <c r="A5" s="30" t="s">
        <v>121</v>
      </c>
      <c r="B5" s="8">
        <f>STDEV(Dataset!$E$2:$E$201)/SQRT(COUNT(Dataset!$E$2:$E$201))</f>
        <v>21.161850448978406</v>
      </c>
      <c r="C5" s="29">
        <f>STDEV(Dataset!$F$2:$F$201)/SQRT(COUNT(Dataset!$F$2:$F$201))</f>
        <v>0.39927682743257598</v>
      </c>
      <c r="D5" s="31">
        <f>STDEV(Dataset!$G$2:$G$201)/SQRT(COUNT(Dataset!$G$2:$G$201))</f>
        <v>5.1142413732752686E-3</v>
      </c>
      <c r="E5" s="8">
        <f>STDEV(Dataset!$I$2:$I$201)/SQRT(COUNT(Dataset!$I$2:$I$201))</f>
        <v>9.6001196472332531</v>
      </c>
    </row>
    <row r="6" spans="1:6" x14ac:dyDescent="0.3">
      <c r="A6" s="30" t="s">
        <v>134</v>
      </c>
      <c r="B6" s="8">
        <f>MEDIAN(Dataset!$E$2:$E$201)</f>
        <v>976.72</v>
      </c>
      <c r="C6" s="29">
        <f>MEDIAN(Dataset!$F$2:$F$201)</f>
        <v>10</v>
      </c>
      <c r="D6" s="31">
        <f>MEDIAN(Dataset!$G$2:$G$201)</f>
        <v>0.1</v>
      </c>
      <c r="E6" s="8">
        <f>MEDIAN(Dataset!$I$2:$I$201)</f>
        <v>332.255</v>
      </c>
    </row>
    <row r="7" spans="1:6" x14ac:dyDescent="0.3">
      <c r="A7" s="30" t="s">
        <v>135</v>
      </c>
      <c r="B7" s="8" t="str">
        <f>IFERROR(MODE(Dataset!$E$2:$E$201),"N/A")</f>
        <v>N/A</v>
      </c>
      <c r="C7" s="29">
        <f>IFERROR(MODE(Dataset!$F$2:$F$201),"N/A")</f>
        <v>8</v>
      </c>
      <c r="D7" s="31">
        <f>IFERROR(MODE(Dataset!$G$2:$G$201),"N/A")</f>
        <v>0.2</v>
      </c>
      <c r="E7" s="8" t="str">
        <f>IFERROR(MODE(Dataset!$I$2:$I$201),"N/A")</f>
        <v>N/A</v>
      </c>
    </row>
    <row r="8" spans="1:6" x14ac:dyDescent="0.3">
      <c r="A8" s="30" t="s">
        <v>136</v>
      </c>
      <c r="B8" s="8">
        <f>STDEV(Dataset!$E$2:$E$201)</f>
        <v>299.27375909856431</v>
      </c>
      <c r="C8" s="29">
        <f>STDEV(Dataset!$F$2:$F$201)</f>
        <v>5.6466270449645082</v>
      </c>
      <c r="D8" s="31">
        <f>STDEV(Dataset!$G$2:$G$201)</f>
        <v>7.232629511335488E-2</v>
      </c>
      <c r="E8" s="8">
        <f>STDEV(Dataset!$I$2:$I$201)</f>
        <v>135.7661940552168</v>
      </c>
    </row>
    <row r="9" spans="1:6" x14ac:dyDescent="0.3">
      <c r="A9" s="30" t="s">
        <v>137</v>
      </c>
      <c r="B9" s="29">
        <f>VAR(Dataset!$E$2:$E$201)</f>
        <v>89564.782884985514</v>
      </c>
      <c r="C9" s="29">
        <f>VAR(Dataset!$F$2:$F$201)</f>
        <v>31.884396984924617</v>
      </c>
      <c r="D9" s="29">
        <f>VAR(Dataset!$G$2:$G$201)</f>
        <v>5.2310929648241022E-3</v>
      </c>
      <c r="E9" s="29">
        <f>VAR(Dataset!$I$2:$I$201)</f>
        <v>18432.459448238787</v>
      </c>
    </row>
    <row r="10" spans="1:6" x14ac:dyDescent="0.3">
      <c r="A10" s="30" t="s">
        <v>138</v>
      </c>
      <c r="B10" s="29">
        <f>KURT(Dataset!$E$2:$E$201)</f>
        <v>-8.8595231919740502E-2</v>
      </c>
      <c r="C10" s="29">
        <f>KURT(Dataset!$F$2:$F$201)</f>
        <v>-1.2091053826620759</v>
      </c>
      <c r="D10" s="29">
        <f>KURT(Dataset!$G$2:$G$201)</f>
        <v>-1.3257012415855784</v>
      </c>
      <c r="E10" s="29">
        <f>KURT(Dataset!$I$2:$I$201)</f>
        <v>0.26450643813582442</v>
      </c>
    </row>
    <row r="11" spans="1:6" x14ac:dyDescent="0.3">
      <c r="A11" s="30" t="s">
        <v>139</v>
      </c>
      <c r="B11" s="29">
        <f>SKEW(Dataset!$E$2:$E$201)</f>
        <v>0.14685796564193557</v>
      </c>
      <c r="C11" s="29">
        <f>SKEW(Dataset!$F$2:$F$201)</f>
        <v>6.084586432077814E-2</v>
      </c>
      <c r="D11" s="29">
        <f>SKEW(Dataset!$G$2:$G$201)</f>
        <v>9.6827385576684841E-2</v>
      </c>
      <c r="E11" s="29">
        <f>SKEW(Dataset!$I$2:$I$201)</f>
        <v>0.57339636063424715</v>
      </c>
    </row>
    <row r="12" spans="1:6" x14ac:dyDescent="0.3">
      <c r="A12" s="30" t="s">
        <v>140</v>
      </c>
      <c r="B12" s="8">
        <f>MAX(Dataset!$E$2:$E$201)-MIN(Dataset!$E$2:$E$201)</f>
        <v>1665.15</v>
      </c>
      <c r="C12" s="29">
        <f>MAX(Dataset!$F$2:$F$201)-MIN(Dataset!$F$2:$F$201)</f>
        <v>18</v>
      </c>
      <c r="D12" s="31">
        <f>MAX(Dataset!$G$2:$G$201)-MIN(Dataset!$G$2:$G$201)</f>
        <v>0.2</v>
      </c>
      <c r="E12" s="8">
        <f>MAX(Dataset!$I$2:$I$201)-MIN(Dataset!$I$2:$I$201)</f>
        <v>704.83</v>
      </c>
    </row>
    <row r="13" spans="1:6" x14ac:dyDescent="0.3">
      <c r="A13" s="30" t="s">
        <v>141</v>
      </c>
      <c r="B13" s="8">
        <f>MIN(Dataset!$E$2:$E$201)</f>
        <v>258.51</v>
      </c>
      <c r="C13" s="29">
        <f>MIN(Dataset!$F$2:$F$201)</f>
        <v>1</v>
      </c>
      <c r="D13" s="31">
        <f>MIN(Dataset!$G$2:$G$201)</f>
        <v>0</v>
      </c>
      <c r="E13" s="8">
        <f>MIN(Dataset!$I$2:$I$201)</f>
        <v>64.63</v>
      </c>
    </row>
    <row r="14" spans="1:6" x14ac:dyDescent="0.3">
      <c r="A14" s="30" t="s">
        <v>142</v>
      </c>
      <c r="B14" s="8">
        <f>MAX(Dataset!$E$2:$E$201)</f>
        <v>1923.66</v>
      </c>
      <c r="C14" s="29">
        <f>MAX(Dataset!$F$2:$F$201)</f>
        <v>19</v>
      </c>
      <c r="D14" s="31">
        <f>MAX(Dataset!$G$2:$G$201)</f>
        <v>0.2</v>
      </c>
      <c r="E14" s="8">
        <f>MAX(Dataset!$I$2:$I$201)</f>
        <v>769.46</v>
      </c>
    </row>
    <row r="15" spans="1:6" x14ac:dyDescent="0.3">
      <c r="A15" s="30" t="s">
        <v>143</v>
      </c>
      <c r="B15" s="8">
        <f>SUM(Dataset!$E$2:$E$201)</f>
        <v>195217.75999999992</v>
      </c>
      <c r="C15" s="29">
        <f>SUM(Dataset!$F$2:$F$201)</f>
        <v>1999</v>
      </c>
      <c r="D15" s="31">
        <f>SUM(Dataset!$G$2:$G$201)</f>
        <v>19.45</v>
      </c>
      <c r="E15" s="8">
        <f>SUM(Dataset!$I$2:$I$201)</f>
        <v>68287.010000000009</v>
      </c>
    </row>
    <row r="16" spans="1:6" x14ac:dyDescent="0.3">
      <c r="A16" s="30" t="s">
        <v>144</v>
      </c>
      <c r="B16" s="32">
        <f>COUNT(Dataset!$E$2:$E$201)</f>
        <v>200</v>
      </c>
      <c r="C16" s="32">
        <f>COUNT(Dataset!$F$2:$F$201)</f>
        <v>200</v>
      </c>
      <c r="D16" s="32">
        <f>COUNT(Dataset!$G$2:$G$201)</f>
        <v>200</v>
      </c>
      <c r="E16" s="32">
        <f>COUNT(Dataset!$I$2:$I$201)</f>
        <v>200</v>
      </c>
    </row>
  </sheetData>
  <mergeCells count="1">
    <mergeCell ref="A1:F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showGridLines="0" zoomScaleNormal="100" workbookViewId="0">
      <selection sqref="A1:F1"/>
    </sheetView>
  </sheetViews>
  <sheetFormatPr defaultColWidth="8.6640625" defaultRowHeight="14.4" x14ac:dyDescent="0.3"/>
  <cols>
    <col min="1" max="1" width="16" customWidth="1"/>
    <col min="2" max="5" width="13" customWidth="1"/>
    <col min="6" max="7" width="15" customWidth="1"/>
  </cols>
  <sheetData>
    <row r="1" spans="1:8" ht="21" x14ac:dyDescent="0.4">
      <c r="A1" s="36" t="s">
        <v>145</v>
      </c>
      <c r="B1" s="36"/>
      <c r="C1" s="36"/>
      <c r="D1" s="36"/>
      <c r="E1" s="36"/>
      <c r="F1" s="36"/>
    </row>
    <row r="3" spans="1:8" x14ac:dyDescent="0.3">
      <c r="A3" s="37" t="s">
        <v>146</v>
      </c>
      <c r="B3" s="37"/>
      <c r="C3" s="37"/>
      <c r="D3" s="37"/>
      <c r="E3" s="37"/>
      <c r="F3" s="37"/>
      <c r="G3" s="37"/>
      <c r="H3" s="37"/>
    </row>
    <row r="5" spans="1:8" x14ac:dyDescent="0.3">
      <c r="A5" s="12" t="s">
        <v>147</v>
      </c>
    </row>
    <row r="6" spans="1:8" ht="27.6" x14ac:dyDescent="0.3">
      <c r="A6" s="5" t="s">
        <v>4</v>
      </c>
      <c r="B6" s="5" t="s">
        <v>17</v>
      </c>
      <c r="C6" s="5" t="s">
        <v>20</v>
      </c>
      <c r="D6" s="5" t="s">
        <v>26</v>
      </c>
      <c r="E6" s="5" t="s">
        <v>32</v>
      </c>
      <c r="F6" s="5" t="s">
        <v>44</v>
      </c>
      <c r="G6" s="5" t="s">
        <v>148</v>
      </c>
    </row>
    <row r="7" spans="1:8" x14ac:dyDescent="0.3">
      <c r="A7" s="30" t="s">
        <v>16</v>
      </c>
      <c r="B7" s="8">
        <f>SUMIFS(Dataset!$E$2:$E$201,Dataset!$C$2:$C$201,$A7,Dataset!$D$2:$D$201,B$6)</f>
        <v>6691.17</v>
      </c>
      <c r="C7" s="8">
        <f>SUMIFS(Dataset!$E$2:$E$201,Dataset!$C$2:$C$201,$A7,Dataset!$D$2:$D$201,C$6)</f>
        <v>10509.429999999998</v>
      </c>
      <c r="D7" s="8">
        <f>SUMIFS(Dataset!$E$2:$E$201,Dataset!$C$2:$C$201,$A7,Dataset!$D$2:$D$201,D$6)</f>
        <v>11372.44</v>
      </c>
      <c r="E7" s="8">
        <f>SUMIFS(Dataset!$E$2:$E$201,Dataset!$C$2:$C$201,$A7,Dataset!$D$2:$D$201,E$6)</f>
        <v>9182.7800000000007</v>
      </c>
      <c r="F7" s="8">
        <f>SUMIFS(Dataset!$E$2:$E$201,Dataset!$C$2:$C$201,$A7,Dataset!$D$2:$D$201,F$6)</f>
        <v>6327.76</v>
      </c>
      <c r="G7" s="33">
        <f>SUM(B7:F7)</f>
        <v>44083.58</v>
      </c>
    </row>
    <row r="8" spans="1:8" x14ac:dyDescent="0.3">
      <c r="A8" s="30" t="s">
        <v>23</v>
      </c>
      <c r="B8" s="8">
        <f>SUMIFS(Dataset!$E$2:$E$201,Dataset!$C$2:$C$201,$A8,Dataset!$D$2:$D$201,B$6)</f>
        <v>11389.090000000002</v>
      </c>
      <c r="C8" s="8">
        <f>SUMIFS(Dataset!$E$2:$E$201,Dataset!$C$2:$C$201,$A8,Dataset!$D$2:$D$201,C$6)</f>
        <v>2401.4499999999998</v>
      </c>
      <c r="D8" s="8">
        <f>SUMIFS(Dataset!$E$2:$E$201,Dataset!$C$2:$C$201,$A8,Dataset!$D$2:$D$201,D$6)</f>
        <v>2869.54</v>
      </c>
      <c r="E8" s="8">
        <f>SUMIFS(Dataset!$E$2:$E$201,Dataset!$C$2:$C$201,$A8,Dataset!$D$2:$D$201,E$6)</f>
        <v>7592.3399999999992</v>
      </c>
      <c r="F8" s="8">
        <f>SUMIFS(Dataset!$E$2:$E$201,Dataset!$C$2:$C$201,$A8,Dataset!$D$2:$D$201,F$6)</f>
        <v>8189.2200000000012</v>
      </c>
      <c r="G8" s="33">
        <f>SUM(B8:F8)</f>
        <v>32441.640000000003</v>
      </c>
    </row>
    <row r="9" spans="1:8" x14ac:dyDescent="0.3">
      <c r="A9" s="30" t="s">
        <v>25</v>
      </c>
      <c r="B9" s="8">
        <f>SUMIFS(Dataset!$E$2:$E$201,Dataset!$C$2:$C$201,$A9,Dataset!$D$2:$D$201,B$6)</f>
        <v>9588.0400000000009</v>
      </c>
      <c r="C9" s="8">
        <f>SUMIFS(Dataset!$E$2:$E$201,Dataset!$C$2:$C$201,$A9,Dataset!$D$2:$D$201,C$6)</f>
        <v>8393.630000000001</v>
      </c>
      <c r="D9" s="8">
        <f>SUMIFS(Dataset!$E$2:$E$201,Dataset!$C$2:$C$201,$A9,Dataset!$D$2:$D$201,D$6)</f>
        <v>11989.070000000003</v>
      </c>
      <c r="E9" s="8">
        <f>SUMIFS(Dataset!$E$2:$E$201,Dataset!$C$2:$C$201,$A9,Dataset!$D$2:$D$201,E$6)</f>
        <v>7982.73</v>
      </c>
      <c r="F9" s="8">
        <f>SUMIFS(Dataset!$E$2:$E$201,Dataset!$C$2:$C$201,$A9,Dataset!$D$2:$D$201,F$6)</f>
        <v>2295.3199999999997</v>
      </c>
      <c r="G9" s="33">
        <f>SUM(B9:F9)</f>
        <v>40248.79</v>
      </c>
    </row>
    <row r="10" spans="1:8" x14ac:dyDescent="0.3">
      <c r="A10" s="30" t="s">
        <v>29</v>
      </c>
      <c r="B10" s="8">
        <f>SUMIFS(Dataset!$E$2:$E$201,Dataset!$C$2:$C$201,$A10,Dataset!$D$2:$D$201,B$6)</f>
        <v>8037.0100000000011</v>
      </c>
      <c r="C10" s="8">
        <f>SUMIFS(Dataset!$E$2:$E$201,Dataset!$C$2:$C$201,$A10,Dataset!$D$2:$D$201,C$6)</f>
        <v>8422.82</v>
      </c>
      <c r="D10" s="8">
        <f>SUMIFS(Dataset!$E$2:$E$201,Dataset!$C$2:$C$201,$A10,Dataset!$D$2:$D$201,D$6)</f>
        <v>8191.7099999999991</v>
      </c>
      <c r="E10" s="8">
        <f>SUMIFS(Dataset!$E$2:$E$201,Dataset!$C$2:$C$201,$A10,Dataset!$D$2:$D$201,E$6)</f>
        <v>6978.08</v>
      </c>
      <c r="F10" s="8">
        <f>SUMIFS(Dataset!$E$2:$E$201,Dataset!$C$2:$C$201,$A10,Dataset!$D$2:$D$201,F$6)</f>
        <v>3345.8</v>
      </c>
      <c r="G10" s="33">
        <f>SUM(B10:F10)</f>
        <v>34975.420000000006</v>
      </c>
    </row>
    <row r="11" spans="1:8" x14ac:dyDescent="0.3">
      <c r="A11" s="30" t="s">
        <v>39</v>
      </c>
      <c r="B11" s="8">
        <f>SUMIFS(Dataset!$E$2:$E$201,Dataset!$C$2:$C$201,$A11,Dataset!$D$2:$D$201,B$6)</f>
        <v>11297.150000000001</v>
      </c>
      <c r="C11" s="8">
        <f>SUMIFS(Dataset!$E$2:$E$201,Dataset!$C$2:$C$201,$A11,Dataset!$D$2:$D$201,C$6)</f>
        <v>12200.26</v>
      </c>
      <c r="D11" s="8">
        <f>SUMIFS(Dataset!$E$2:$E$201,Dataset!$C$2:$C$201,$A11,Dataset!$D$2:$D$201,D$6)</f>
        <v>6621.24</v>
      </c>
      <c r="E11" s="8">
        <f>SUMIFS(Dataset!$E$2:$E$201,Dataset!$C$2:$C$201,$A11,Dataset!$D$2:$D$201,E$6)</f>
        <v>4876.96</v>
      </c>
      <c r="F11" s="8">
        <f>SUMIFS(Dataset!$E$2:$E$201,Dataset!$C$2:$C$201,$A11,Dataset!$D$2:$D$201,F$6)</f>
        <v>8472.7199999999993</v>
      </c>
      <c r="G11" s="33">
        <f>SUM(B11:F11)</f>
        <v>43468.33</v>
      </c>
    </row>
    <row r="12" spans="1:8" x14ac:dyDescent="0.3">
      <c r="A12" s="30" t="s">
        <v>148</v>
      </c>
      <c r="B12" s="33">
        <f t="shared" ref="B12:G12" si="0">SUM(B7:B11)</f>
        <v>47002.460000000006</v>
      </c>
      <c r="C12" s="33">
        <f t="shared" si="0"/>
        <v>41927.589999999997</v>
      </c>
      <c r="D12" s="33">
        <f t="shared" si="0"/>
        <v>41044</v>
      </c>
      <c r="E12" s="33">
        <f t="shared" si="0"/>
        <v>36612.89</v>
      </c>
      <c r="F12" s="33">
        <f t="shared" si="0"/>
        <v>28630.82</v>
      </c>
      <c r="G12" s="33">
        <f t="shared" si="0"/>
        <v>195217.76</v>
      </c>
    </row>
    <row r="15" spans="1:8" x14ac:dyDescent="0.3">
      <c r="A15" s="12" t="s">
        <v>149</v>
      </c>
    </row>
    <row r="16" spans="1:8" ht="27.6" x14ac:dyDescent="0.3">
      <c r="A16" s="5" t="s">
        <v>4</v>
      </c>
      <c r="B16" s="5" t="s">
        <v>17</v>
      </c>
      <c r="C16" s="5" t="s">
        <v>20</v>
      </c>
      <c r="D16" s="5" t="s">
        <v>26</v>
      </c>
      <c r="E16" s="5" t="s">
        <v>32</v>
      </c>
      <c r="F16" s="5" t="s">
        <v>44</v>
      </c>
      <c r="G16" s="5" t="s">
        <v>148</v>
      </c>
    </row>
    <row r="17" spans="1:7" x14ac:dyDescent="0.3">
      <c r="A17" s="30" t="s">
        <v>16</v>
      </c>
      <c r="B17" s="8">
        <f>SUMIFS(Dataset!$I$2:$I$201,Dataset!$C$2:$C$201,$A17,Dataset!$D$2:$D$201,B$16)</f>
        <v>2292.48</v>
      </c>
      <c r="C17" s="8">
        <f>SUMIFS(Dataset!$I$2:$I$201,Dataset!$C$2:$C$201,$A17,Dataset!$D$2:$D$201,C$16)</f>
        <v>4728.4400000000005</v>
      </c>
      <c r="D17" s="8">
        <f>SUMIFS(Dataset!$I$2:$I$201,Dataset!$C$2:$C$201,$A17,Dataset!$D$2:$D$201,D$16)</f>
        <v>2437.94</v>
      </c>
      <c r="E17" s="8">
        <f>SUMIFS(Dataset!$I$2:$I$201,Dataset!$C$2:$C$201,$A17,Dataset!$D$2:$D$201,E$16)</f>
        <v>2826.5199999999995</v>
      </c>
      <c r="F17" s="8">
        <f>SUMIFS(Dataset!$I$2:$I$201,Dataset!$C$2:$C$201,$A17,Dataset!$D$2:$D$201,F$16)</f>
        <v>2700.45</v>
      </c>
      <c r="G17" s="33">
        <f>SUM(B17:F17)</f>
        <v>14985.830000000002</v>
      </c>
    </row>
    <row r="18" spans="1:7" x14ac:dyDescent="0.3">
      <c r="A18" s="30" t="s">
        <v>23</v>
      </c>
      <c r="B18" s="8">
        <f>SUMIFS(Dataset!$I$2:$I$201,Dataset!$C$2:$C$201,$A18,Dataset!$D$2:$D$201,B$16)</f>
        <v>4212.63</v>
      </c>
      <c r="C18" s="8">
        <f>SUMIFS(Dataset!$I$2:$I$201,Dataset!$C$2:$C$201,$A18,Dataset!$D$2:$D$201,C$16)</f>
        <v>1025.1500000000001</v>
      </c>
      <c r="D18" s="8">
        <f>SUMIFS(Dataset!$I$2:$I$201,Dataset!$C$2:$C$201,$A18,Dataset!$D$2:$D$201,D$16)</f>
        <v>662.68</v>
      </c>
      <c r="E18" s="8">
        <f>SUMIFS(Dataset!$I$2:$I$201,Dataset!$C$2:$C$201,$A18,Dataset!$D$2:$D$201,E$16)</f>
        <v>2428.08</v>
      </c>
      <c r="F18" s="8">
        <f>SUMIFS(Dataset!$I$2:$I$201,Dataset!$C$2:$C$201,$A18,Dataset!$D$2:$D$201,F$16)</f>
        <v>3310.05</v>
      </c>
      <c r="G18" s="33">
        <f>SUM(B18:F18)</f>
        <v>11638.59</v>
      </c>
    </row>
    <row r="19" spans="1:7" x14ac:dyDescent="0.3">
      <c r="A19" s="30" t="s">
        <v>25</v>
      </c>
      <c r="B19" s="8">
        <f>SUMIFS(Dataset!$I$2:$I$201,Dataset!$C$2:$C$201,$A19,Dataset!$D$2:$D$201,B$16)</f>
        <v>3416.81</v>
      </c>
      <c r="C19" s="8">
        <f>SUMIFS(Dataset!$I$2:$I$201,Dataset!$C$2:$C$201,$A19,Dataset!$D$2:$D$201,C$16)</f>
        <v>3944.2100000000005</v>
      </c>
      <c r="D19" s="8">
        <f>SUMIFS(Dataset!$I$2:$I$201,Dataset!$C$2:$C$201,$A19,Dataset!$D$2:$D$201,D$16)</f>
        <v>2783.4400000000005</v>
      </c>
      <c r="E19" s="8">
        <f>SUMIFS(Dataset!$I$2:$I$201,Dataset!$C$2:$C$201,$A19,Dataset!$D$2:$D$201,E$16)</f>
        <v>2540.36</v>
      </c>
      <c r="F19" s="8">
        <f>SUMIFS(Dataset!$I$2:$I$201,Dataset!$C$2:$C$201,$A19,Dataset!$D$2:$D$201,F$16)</f>
        <v>1007.09</v>
      </c>
      <c r="G19" s="33">
        <f>SUM(B19:F19)</f>
        <v>13691.910000000002</v>
      </c>
    </row>
    <row r="20" spans="1:7" x14ac:dyDescent="0.3">
      <c r="A20" s="30" t="s">
        <v>29</v>
      </c>
      <c r="B20" s="8">
        <f>SUMIFS(Dataset!$I$2:$I$201,Dataset!$C$2:$C$201,$A20,Dataset!$D$2:$D$201,B$16)</f>
        <v>2778.4399999999996</v>
      </c>
      <c r="C20" s="8">
        <f>SUMIFS(Dataset!$I$2:$I$201,Dataset!$C$2:$C$201,$A20,Dataset!$D$2:$D$201,C$16)</f>
        <v>3691.09</v>
      </c>
      <c r="D20" s="8">
        <f>SUMIFS(Dataset!$I$2:$I$201,Dataset!$C$2:$C$201,$A20,Dataset!$D$2:$D$201,D$16)</f>
        <v>1783.05</v>
      </c>
      <c r="E20" s="8">
        <f>SUMIFS(Dataset!$I$2:$I$201,Dataset!$C$2:$C$201,$A20,Dataset!$D$2:$D$201,E$16)</f>
        <v>2217.7199999999998</v>
      </c>
      <c r="F20" s="8">
        <f>SUMIFS(Dataset!$I$2:$I$201,Dataset!$C$2:$C$201,$A20,Dataset!$D$2:$D$201,F$16)</f>
        <v>1431.98</v>
      </c>
      <c r="G20" s="33">
        <f>SUM(B20:F20)</f>
        <v>11902.279999999999</v>
      </c>
    </row>
    <row r="21" spans="1:7" x14ac:dyDescent="0.3">
      <c r="A21" s="30" t="s">
        <v>39</v>
      </c>
      <c r="B21" s="8">
        <f>SUMIFS(Dataset!$I$2:$I$201,Dataset!$C$2:$C$201,$A21,Dataset!$D$2:$D$201,B$16)</f>
        <v>4201.2700000000004</v>
      </c>
      <c r="C21" s="8">
        <f>SUMIFS(Dataset!$I$2:$I$201,Dataset!$C$2:$C$201,$A21,Dataset!$D$2:$D$201,C$16)</f>
        <v>5395.6</v>
      </c>
      <c r="D21" s="8">
        <f>SUMIFS(Dataset!$I$2:$I$201,Dataset!$C$2:$C$201,$A21,Dataset!$D$2:$D$201,D$16)</f>
        <v>1515.0399999999997</v>
      </c>
      <c r="E21" s="8">
        <f>SUMIFS(Dataset!$I$2:$I$201,Dataset!$C$2:$C$201,$A21,Dataset!$D$2:$D$201,E$16)</f>
        <v>1566.46</v>
      </c>
      <c r="F21" s="8">
        <f>SUMIFS(Dataset!$I$2:$I$201,Dataset!$C$2:$C$201,$A21,Dataset!$D$2:$D$201,F$16)</f>
        <v>3390.03</v>
      </c>
      <c r="G21" s="33">
        <f>SUM(B21:F21)</f>
        <v>16068.4</v>
      </c>
    </row>
    <row r="22" spans="1:7" x14ac:dyDescent="0.3">
      <c r="A22" s="30" t="s">
        <v>148</v>
      </c>
      <c r="B22" s="33">
        <f t="shared" ref="B22:G22" si="1">SUM(B17:B21)</f>
        <v>16901.63</v>
      </c>
      <c r="C22" s="33">
        <f t="shared" si="1"/>
        <v>18784.490000000002</v>
      </c>
      <c r="D22" s="33">
        <f t="shared" si="1"/>
        <v>9182.15</v>
      </c>
      <c r="E22" s="33">
        <f t="shared" si="1"/>
        <v>11579.14</v>
      </c>
      <c r="F22" s="33">
        <f t="shared" si="1"/>
        <v>11839.6</v>
      </c>
      <c r="G22" s="33">
        <f t="shared" si="1"/>
        <v>68287.009999999995</v>
      </c>
    </row>
  </sheetData>
  <mergeCells count="2">
    <mergeCell ref="A1:F1"/>
    <mergeCell ref="A3:H3"/>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Instructions</vt:lpstr>
      <vt:lpstr>Dataset</vt:lpstr>
      <vt:lpstr>Dashboard</vt:lpstr>
      <vt:lpstr>High-Value Customers</vt:lpstr>
      <vt:lpstr>Monthly Trend</vt:lpstr>
      <vt:lpstr>What-If Analysis</vt:lpstr>
      <vt:lpstr>Regression Analysis</vt:lpstr>
      <vt:lpstr>Descriptive Statistics</vt:lpstr>
      <vt:lpstr>Pivot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mitudiyora@gmail.com</cp:lastModifiedBy>
  <cp:revision>1</cp:revision>
  <dcterms:created xsi:type="dcterms:W3CDTF">2026-09-09T10:20:12Z</dcterms:created>
  <dcterms:modified xsi:type="dcterms:W3CDTF">2026-09-15T11:17:10Z</dcterms:modified>
  <dc:language>en-US</dc:language>
</cp:coreProperties>
</file>